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true" localSheetId="0" name="_xlnm._FilterDatabase" vbProcedure="false">Sheet1!$N$1:$N$1004</definedName>
    <definedName function="false" hidden="true" localSheetId="0" name="Z_54774253_B54A_4AA4_9E1C_6CE9B0748BB2_.wvu.FilterData" vbProcedure="false">Sheet1!$A$1:$R$87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<sst xmlns="http://schemas.openxmlformats.org/spreadsheetml/2006/main" count="404" uniqueCount="236">
  <si>
    <t xml:space="preserve">game</t>
  </si>
  <si>
    <t xml:space="preserve">Age</t>
  </si>
  <si>
    <t xml:space="preserve">time</t>
  </si>
  <si>
    <t xml:space="preserve">min</t>
  </si>
  <si>
    <t xml:space="preserve">max</t>
  </si>
  <si>
    <t xml:space="preserve">complex</t>
  </si>
  <si>
    <t xml:space="preserve">year</t>
  </si>
  <si>
    <t xml:space="preserve">Players</t>
  </si>
  <si>
    <t xml:space="preserve">Time max</t>
  </si>
  <si>
    <t xml:space="preserve">Age min</t>
  </si>
  <si>
    <t xml:space="preserve">all filters</t>
  </si>
  <si>
    <t xml:space="preserve">Spiel des Jahres</t>
  </si>
  <si>
    <t xml:space="preserve">owner</t>
  </si>
  <si>
    <t xml:space="preserve">category</t>
  </si>
  <si>
    <t xml:space="preserve">bgg link</t>
  </si>
  <si>
    <t xml:space="preserve">Author</t>
  </si>
  <si>
    <t xml:space="preserve">Chess</t>
  </si>
  <si>
    <t xml:space="preserve">board</t>
  </si>
  <si>
    <t xml:space="preserve">https://boardgamegeek.com/boardgame/171/chess</t>
  </si>
  <si>
    <t xml:space="preserve">(classic)</t>
  </si>
  <si>
    <t xml:space="preserve">Agricola</t>
  </si>
  <si>
    <t xml:space="preserve">Kennerspiel</t>
  </si>
  <si>
    <t xml:space="preserve">https://boardgamegeek.com/boardgame/31260/agricola</t>
  </si>
  <si>
    <t xml:space="preserve">Uwe Rosenberg</t>
  </si>
  <si>
    <t xml:space="preserve">Tigris &amp; Euphrates</t>
  </si>
  <si>
    <t xml:space="preserve">recommended</t>
  </si>
  <si>
    <t xml:space="preserve">https://boardgamegeek.com/boardgame/42/tigris-euphrates</t>
  </si>
  <si>
    <t xml:space="preserve">Power grid / Funkenschlag</t>
  </si>
  <si>
    <t xml:space="preserve">https://boardgamegeek.com/boardgame/2651/power-grid</t>
  </si>
  <si>
    <t xml:space="preserve">The Village</t>
  </si>
  <si>
    <t xml:space="preserve">Martin</t>
  </si>
  <si>
    <t xml:space="preserve">https://boardgamegeek.com/boardgame/104006/village</t>
  </si>
  <si>
    <t xml:space="preserve">Puerto Rico 1897</t>
  </si>
  <si>
    <t xml:space="preserve">nominated</t>
  </si>
  <si>
    <t xml:space="preserve">https://boardgamegeek.com/boardgame/367272/puerto-rico-1897</t>
  </si>
  <si>
    <t xml:space="preserve">Andreas Seyfarth</t>
  </si>
  <si>
    <t xml:space="preserve">Everdell</t>
  </si>
  <si>
    <t xml:space="preserve">Oskar</t>
  </si>
  <si>
    <t xml:space="preserve">https://boardgamegeek.com/boardgame/199792/everdell</t>
  </si>
  <si>
    <t xml:space="preserve">James A. Wilson</t>
  </si>
  <si>
    <t xml:space="preserve">Wingspan</t>
  </si>
  <si>
    <t xml:space="preserve">https://boardgamegeek.com/boardgame/266192/wingspan</t>
  </si>
  <si>
    <t xml:space="preserve">Catan Duel</t>
  </si>
  <si>
    <t xml:space="preserve">Hugo</t>
  </si>
  <si>
    <t xml:space="preserve">https://boardgamegeek.com/boardgame/66056/rivals-catan</t>
  </si>
  <si>
    <t xml:space="preserve">Klaus Teuber</t>
  </si>
  <si>
    <t xml:space="preserve">San Juan</t>
  </si>
  <si>
    <t xml:space="preserve">card</t>
  </si>
  <si>
    <t xml:space="preserve">https://boardgamegeek.com/boardgame/8217/san-juan</t>
  </si>
  <si>
    <t xml:space="preserve">Inkognito</t>
  </si>
  <si>
    <t xml:space="preserve">https://boardgamegeek.com/boardgame/466/inkognito</t>
  </si>
  <si>
    <t xml:space="preserve">Leo Colovini, Alex Randolph</t>
  </si>
  <si>
    <t xml:space="preserve">Canasta</t>
  </si>
  <si>
    <t xml:space="preserve">https://boardgamegeek.com/boardgame/17104/canasta</t>
  </si>
  <si>
    <t xml:space="preserve">Quo Vadis?</t>
  </si>
  <si>
    <t xml:space="preserve">https://boardgamegeek.com/boardgame/122/quo-vadis</t>
  </si>
  <si>
    <t xml:space="preserve">Reiner Knizia</t>
  </si>
  <si>
    <t xml:space="preserve">Scrabble (German)</t>
  </si>
  <si>
    <t xml:space="preserve">https://boardgamegeek.com/boardgame/320/scrabble</t>
  </si>
  <si>
    <t xml:space="preserve">Sky team</t>
  </si>
  <si>
    <t xml:space="preserve">https://boardgamegeek.com/boardgame/373106/sky-team</t>
  </si>
  <si>
    <t xml:space="preserve">Luc Rémond</t>
  </si>
  <si>
    <t xml:space="preserve">Die vergessene Stadt</t>
  </si>
  <si>
    <t xml:space="preserve">https://boardgamegeek.com/boardgame/136063/forbidden-desert/versions?pageid=1&amp;language=2188</t>
  </si>
  <si>
    <t xml:space="preserve">Matt Leacock</t>
  </si>
  <si>
    <t xml:space="preserve">Backgammon</t>
  </si>
  <si>
    <t xml:space="preserve">https://boardgamegeek.com/boardgame/2397/backgammon</t>
  </si>
  <si>
    <t xml:space="preserve">My City</t>
  </si>
  <si>
    <t xml:space="preserve">https://boardgamegeek.com/boardgame/295486/my-city</t>
  </si>
  <si>
    <t xml:space="preserve">Manhattan </t>
  </si>
  <si>
    <t xml:space="preserve">https://boardgamegeek.com/boardgame/16719/manhattan</t>
  </si>
  <si>
    <t xml:space="preserve">Karl-Heinz Koch</t>
  </si>
  <si>
    <t xml:space="preserve">Auf Achse</t>
  </si>
  <si>
    <t xml:space="preserve">https://boardgamegeek.com/boardgame/110/auf-achse</t>
  </si>
  <si>
    <t xml:space="preserve">Wolfgang Kramer</t>
  </si>
  <si>
    <t xml:space="preserve">Dorfromantik: Sakura</t>
  </si>
  <si>
    <t xml:space="preserve">https://boardgamegeek.com/boardgame/424774/dorfromantik-sakura</t>
  </si>
  <si>
    <t xml:space="preserve">The Crew: The Quest for Planet Nine</t>
  </si>
  <si>
    <t xml:space="preserve">Hugo / Oskar</t>
  </si>
  <si>
    <t xml:space="preserve">https://boardgamegeek.com/boardgame/284083/the-crew-the-quest-for-planet-nine</t>
  </si>
  <si>
    <t xml:space="preserve">Bomb Busters</t>
  </si>
  <si>
    <t xml:space="preserve">https://boardgamegeek.com/boardgame/413246/bomb-busters</t>
  </si>
  <si>
    <t xml:space="preserve">Ticket to Ride: Switzerland</t>
  </si>
  <si>
    <t xml:space="preserve">https://boardgamegeek.com/boardgameexpansion/30746/ticket-ride-switzerland</t>
  </si>
  <si>
    <t xml:space="preserve">Alan R. Moon</t>
  </si>
  <si>
    <t xml:space="preserve">Sagrada</t>
  </si>
  <si>
    <t xml:space="preserve">dice</t>
  </si>
  <si>
    <t xml:space="preserve">https://boardgamegeek.com/boardgame/199561/sagrada</t>
  </si>
  <si>
    <t xml:space="preserve">Fréderic Moyersoen</t>
  </si>
  <si>
    <t xml:space="preserve">equate</t>
  </si>
  <si>
    <t xml:space="preserve">https://boardgamegeek.com/boardgame/2499/equate</t>
  </si>
  <si>
    <t xml:space="preserve">Mary Kay Beavers</t>
  </si>
  <si>
    <t xml:space="preserve">Ticket to Ride: Europe</t>
  </si>
  <si>
    <t xml:space="preserve">https://boardgamegeek.com/boardgame/14996/ticket-ride-europe</t>
  </si>
  <si>
    <t xml:space="preserve">Casablanca</t>
  </si>
  <si>
    <t xml:space="preserve">https://boardgamegeek.com/boardgame/697/conspiracy</t>
  </si>
  <si>
    <t xml:space="preserve">Eric Solomon</t>
  </si>
  <si>
    <t xml:space="preserve">Cribbage</t>
  </si>
  <si>
    <t xml:space="preserve">Sarah</t>
  </si>
  <si>
    <t xml:space="preserve">https://boardgamegeek.com/boardgame/2398/cribbage</t>
  </si>
  <si>
    <t xml:space="preserve">Carcassonne</t>
  </si>
  <si>
    <t xml:space="preserve">https://boardgamegeek.com/boardgame/822/carcassonne</t>
  </si>
  <si>
    <t xml:space="preserve">Klaus-Jürgen Wrede</t>
  </si>
  <si>
    <t xml:space="preserve">Cartographer </t>
  </si>
  <si>
    <t xml:space="preserve">recommended </t>
  </si>
  <si>
    <t xml:space="preserve">https://boardgamegeek.com/boardgame/263918/cartographers</t>
  </si>
  <si>
    <t xml:space="preserve">Jordy Adan</t>
  </si>
  <si>
    <t xml:space="preserve">Adel verpflichtet </t>
  </si>
  <si>
    <t xml:space="preserve">https://boardgamegeek.com/boardgame/120/hoity-toity</t>
  </si>
  <si>
    <t xml:space="preserve">Nova Luna</t>
  </si>
  <si>
    <t xml:space="preserve">https://boardgamegeek.com/boardgame/284435/nova-luna</t>
  </si>
  <si>
    <t xml:space="preserve">Gobblet (tic tac toe)</t>
  </si>
  <si>
    <t xml:space="preserve">https://boardgamegeek.com/boardgame/2266/gobblet</t>
  </si>
  <si>
    <t xml:space="preserve">Cascadia</t>
  </si>
  <si>
    <t xml:space="preserve">https://boardgamegeek.com/boardgame/295947/cascadia</t>
  </si>
  <si>
    <t xml:space="preserve">Randy Flynn</t>
  </si>
  <si>
    <t xml:space="preserve">Ticket to Ride: US</t>
  </si>
  <si>
    <t xml:space="preserve">https://boardgamegeek.com/boardgame/9209/ticket-ride</t>
  </si>
  <si>
    <t xml:space="preserve">Colt Express</t>
  </si>
  <si>
    <t xml:space="preserve">https://boardgamegeek.com/boardgame/158899/colt-express</t>
  </si>
  <si>
    <t xml:space="preserve">Christophe Raimbault</t>
  </si>
  <si>
    <t xml:space="preserve">Splendor</t>
  </si>
  <si>
    <t xml:space="preserve">https://boardgamegeek.com/boardgame/148228/splendor</t>
  </si>
  <si>
    <t xml:space="preserve">Azul</t>
  </si>
  <si>
    <t xml:space="preserve">https://boardgamegeek.com/boardgame/230802/azul</t>
  </si>
  <si>
    <t xml:space="preserve">Michael Kiesling</t>
  </si>
  <si>
    <t xml:space="preserve">Blokus</t>
  </si>
  <si>
    <t xml:space="preserve">https://boardgamegeek.com/boardgame/2453/blokus</t>
  </si>
  <si>
    <t xml:space="preserve">Bernard Tavitian</t>
  </si>
  <si>
    <t xml:space="preserve">Rummikub</t>
  </si>
  <si>
    <t xml:space="preserve">https://boardgamegeek.com/boardgame/811/rummikub</t>
  </si>
  <si>
    <t xml:space="preserve">Tetris</t>
  </si>
  <si>
    <t xml:space="preserve">https://boardgamegeek.com/boardgame/342016/tetris</t>
  </si>
  <si>
    <t xml:space="preserve">Blueprints</t>
  </si>
  <si>
    <t xml:space="preserve">https://boardgamegeek.com/boardgame/140933/blueprints</t>
  </si>
  <si>
    <t xml:space="preserve">Yves Tourigny</t>
  </si>
  <si>
    <t xml:space="preserve">Hanabi</t>
  </si>
  <si>
    <t xml:space="preserve">https://boardgamegeek.com/boardgame/98778/hanabi</t>
  </si>
  <si>
    <t xml:space="preserve">Antoine Bauza</t>
  </si>
  <si>
    <t xml:space="preserve">Skull King</t>
  </si>
  <si>
    <t xml:space="preserve">Martin </t>
  </si>
  <si>
    <t xml:space="preserve">https://boardgamegeek.com/boardgame/150145/skull-king</t>
  </si>
  <si>
    <t xml:space="preserve">Dorfromantik</t>
  </si>
  <si>
    <t xml:space="preserve">https://boardgamegeek.com/boardgame/370591/dorfromantik-board-game</t>
  </si>
  <si>
    <t xml:space="preserve">Michael Palm, Lukas Zach</t>
  </si>
  <si>
    <t xml:space="preserve">Bohnanza</t>
  </si>
  <si>
    <t xml:space="preserve">https://boardgamegeek.com/boardgame/11/bohnanza</t>
  </si>
  <si>
    <t xml:space="preserve">like pacheesi</t>
  </si>
  <si>
    <t xml:space="preserve">Cafe International</t>
  </si>
  <si>
    <t xml:space="preserve">https://boardgamegeek.com/boardgame/214/cafe-international</t>
  </si>
  <si>
    <t xml:space="preserve">Rudi Hoffmann, Roland Siegers</t>
  </si>
  <si>
    <t xml:space="preserve">Monopoly</t>
  </si>
  <si>
    <t xml:space="preserve">Qwirkle</t>
  </si>
  <si>
    <t xml:space="preserve">https://boardgamegeek.com/boardgame/25669/qwirkle</t>
  </si>
  <si>
    <t xml:space="preserve">Susan McKinley Ross</t>
  </si>
  <si>
    <t xml:space="preserve">nobody is perfect </t>
  </si>
  <si>
    <t xml:space="preserve">https://boardgamegeek.com/boardgame/8829/nobody-perfect</t>
  </si>
  <si>
    <t xml:space="preserve">Bertram Kaes</t>
  </si>
  <si>
    <t xml:space="preserve">Catan Junior</t>
  </si>
  <si>
    <t xml:space="preserve">https://boardgamegeek.com/boardgame/125921/catan-junior</t>
  </si>
  <si>
    <t xml:space="preserve">DOG</t>
  </si>
  <si>
    <t xml:space="preserve">https://boardgamegeek.com/boardgame/2633/dog</t>
  </si>
  <si>
    <t xml:space="preserve">Fluxx</t>
  </si>
  <si>
    <t xml:space="preserve">https://boardgamegeek.com/boardgame/258/fluxx</t>
  </si>
  <si>
    <t xml:space="preserve">Andrew Looney, Kristin Looney</t>
  </si>
  <si>
    <t xml:space="preserve">Marrakech</t>
  </si>
  <si>
    <t xml:space="preserve">https://boardgamegeek.com/boardgame/29223/marrakech</t>
  </si>
  <si>
    <t xml:space="preserve">Dominique Ehrhard</t>
  </si>
  <si>
    <t xml:space="preserve">Labyrinth</t>
  </si>
  <si>
    <t xml:space="preserve">https://boardgamegeek.com/boardgame/1219/labyrinth</t>
  </si>
  <si>
    <t xml:space="preserve">Max J. Kobbert</t>
  </si>
  <si>
    <t xml:space="preserve">Cafe International (cards)</t>
  </si>
  <si>
    <t xml:space="preserve">https://boardgamegeek.com/boardgame/1324/cafe-international-das-kartenspiel</t>
  </si>
  <si>
    <t xml:space="preserve">Saboteur</t>
  </si>
  <si>
    <t xml:space="preserve">https://boardgamegeek.com/boardgame/9220/saboteur</t>
  </si>
  <si>
    <t xml:space="preserve">Schnappt Hubi</t>
  </si>
  <si>
    <t xml:space="preserve">Kinderspiel</t>
  </si>
  <si>
    <t xml:space="preserve">https://boardgamegeek.com/boardgame/92644/schnappt-hubi</t>
  </si>
  <si>
    <t xml:space="preserve">Zilch</t>
  </si>
  <si>
    <t xml:space="preserve">https://boardgamegeek.com/boardgame/11456/zilch</t>
  </si>
  <si>
    <t xml:space="preserve">Five Crowns</t>
  </si>
  <si>
    <t xml:space="preserve">https://boardgamegeek.com/boardgame/1472/five-crowns</t>
  </si>
  <si>
    <t xml:space="preserve">Marsha J. Falco</t>
  </si>
  <si>
    <t xml:space="preserve">Ramses pyramid </t>
  </si>
  <si>
    <t xml:space="preserve">https://boardgamegeek.com/boardgame/41259/ramses-pyramid</t>
  </si>
  <si>
    <t xml:space="preserve">Tsuro</t>
  </si>
  <si>
    <t xml:space="preserve">https://boardgamegeek.com/boardgame/16992/tsuro</t>
  </si>
  <si>
    <t xml:space="preserve">Kingdomino</t>
  </si>
  <si>
    <t xml:space="preserve">https://boardgamegeek.com/boardgame/204583/kingdomino</t>
  </si>
  <si>
    <t xml:space="preserve">Bruno Cathala</t>
  </si>
  <si>
    <t xml:space="preserve">Kayanak</t>
  </si>
  <si>
    <t xml:space="preserve">https://boardgamegeek.com/boardgame/4493/kayanak</t>
  </si>
  <si>
    <t xml:space="preserve">Peter-Paul Joopen</t>
  </si>
  <si>
    <t xml:space="preserve">Heckmeck</t>
  </si>
  <si>
    <t xml:space="preserve">https://boardgamegeek.com/boardgame/15818/pickomino</t>
  </si>
  <si>
    <t xml:space="preserve">Hugo das Schlossgespenst</t>
  </si>
  <si>
    <t xml:space="preserve">https://boardgamegeek.com/boardgame/444/escape-hidden-castle</t>
  </si>
  <si>
    <t xml:space="preserve">Qwixx</t>
  </si>
  <si>
    <t xml:space="preserve">https://boardgamegeek.com/boardgame/131260/qwixx</t>
  </si>
  <si>
    <t xml:space="preserve">Steffen Benndorf</t>
  </si>
  <si>
    <t xml:space="preserve">Zicke Zacke Hühnerkacke</t>
  </si>
  <si>
    <t xml:space="preserve">https://boardgamegeek.com/boardgame/3570/chicken-cha-cha-cha</t>
  </si>
  <si>
    <t xml:space="preserve">Uno</t>
  </si>
  <si>
    <t xml:space="preserve">https://boardgamegeek.com/boardgame/2223/uno</t>
  </si>
  <si>
    <t xml:space="preserve">Fang den Hut</t>
  </si>
  <si>
    <t xml:space="preserve">https://boardgamegeek.com/boardgame/1730/trap-cap</t>
  </si>
  <si>
    <t xml:space="preserve">C. A. N. Neves</t>
  </si>
  <si>
    <t xml:space="preserve">Skyjo</t>
  </si>
  <si>
    <t xml:space="preserve">https://boardgamegeek.com/boardgame/204135/skyjo</t>
  </si>
  <si>
    <t xml:space="preserve">The Mind</t>
  </si>
  <si>
    <t xml:space="preserve">https://boardgamegeek.com/boardgame/244992/mind</t>
  </si>
  <si>
    <t xml:space="preserve">Wolfgang Warsch</t>
  </si>
  <si>
    <t xml:space="preserve">Dreckschwein</t>
  </si>
  <si>
    <t xml:space="preserve">https://boardgamegeek.com/boardgame/118410/dirty-pig</t>
  </si>
  <si>
    <t xml:space="preserve">Frank Bebenroth</t>
  </si>
  <si>
    <t xml:space="preserve">Pictures</t>
  </si>
  <si>
    <t xml:space="preserve">https://boardgamegeek.com/boardgame/284108/pictures</t>
  </si>
  <si>
    <t xml:space="preserve">Christian Stöhr, Daniela Stöhr</t>
  </si>
  <si>
    <t xml:space="preserve">double shutter</t>
  </si>
  <si>
    <t xml:space="preserve">https://boardgamegeek.com/boardgame/34943/double-shutter</t>
  </si>
  <si>
    <t xml:space="preserve">Karma </t>
  </si>
  <si>
    <t xml:space="preserve">https://boardgamegeek.com/boardgame/158268/karma</t>
  </si>
  <si>
    <t xml:space="preserve">Karma king</t>
  </si>
  <si>
    <t xml:space="preserve">Five Crowns Junior</t>
  </si>
  <si>
    <t xml:space="preserve">https://boardgamegeek.com/boardgame/146997/five-crowns-junior</t>
  </si>
  <si>
    <t xml:space="preserve">Regatta </t>
  </si>
  <si>
    <t xml:space="preserve">Yacht Spiel</t>
  </si>
  <si>
    <t xml:space="preserve">https://boardgamegeek.com/boardgame/17672/sailors-game</t>
  </si>
  <si>
    <t xml:space="preserve">Wissen Würfel</t>
  </si>
  <si>
    <t xml:space="preserve">https://boardgamegeek.com/boardgame/18840/wissens-spektrum</t>
  </si>
  <si>
    <t xml:space="preserve">Ostsee Törn</t>
  </si>
  <si>
    <t xml:space="preserve">https://boardgamegeek.com/boardgame/63335/ostsee-torn</t>
  </si>
  <si>
    <t xml:space="preserve">Oh Crud</t>
  </si>
  <si>
    <t xml:space="preserve">https://boardgamegeek.com/boardgame/354078/oh-crud</t>
  </si>
  <si>
    <t xml:space="preserve">Speed art</t>
  </si>
  <si>
    <t xml:space="preserve">https://boardgamegeek.com/boardgame/197706/speed-art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</si>
</sst>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0"/>
      <color theme="1"/>
      <name val="Proxima-nov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oardgamegeek.com/boardgame/171/chess" TargetMode="External"/><Relationship Id="rId2" Type="http://schemas.openxmlformats.org/officeDocument/2006/relationships/hyperlink" Target="https://boardgamegeek.com/boardgame/31260/agricola" TargetMode="External"/><Relationship Id="rId3" Type="http://schemas.openxmlformats.org/officeDocument/2006/relationships/hyperlink" Target="https://boardgamegeek.com/boardgame/42/tigris-euphrates" TargetMode="External"/><Relationship Id="rId4" Type="http://schemas.openxmlformats.org/officeDocument/2006/relationships/hyperlink" Target="https://boardgamegeek.com/boardgame/2651/power-grid" TargetMode="External"/><Relationship Id="rId5" Type="http://schemas.openxmlformats.org/officeDocument/2006/relationships/hyperlink" Target="https://boardgamegeek.com/boardgame/104006/village" TargetMode="External"/><Relationship Id="rId6" Type="http://schemas.openxmlformats.org/officeDocument/2006/relationships/hyperlink" Target="https://boardgamegeek.com/boardgame/367272/puerto-rico-1897" TargetMode="External"/><Relationship Id="rId7" Type="http://schemas.openxmlformats.org/officeDocument/2006/relationships/hyperlink" Target="https://boardgamegeek.com/boardgame/199792/everdell" TargetMode="External"/><Relationship Id="rId8" Type="http://schemas.openxmlformats.org/officeDocument/2006/relationships/hyperlink" Target="https://boardgamegeek.com/boardgame/266192/wingspan" TargetMode="External"/><Relationship Id="rId9" Type="http://schemas.openxmlformats.org/officeDocument/2006/relationships/hyperlink" Target="https://boardgamegeek.com/boardgame/66056/rivals-catan" TargetMode="External"/><Relationship Id="rId10" Type="http://schemas.openxmlformats.org/officeDocument/2006/relationships/hyperlink" Target="https://boardgamegeek.com/boardgame/8217/san-juan" TargetMode="External"/><Relationship Id="rId11" Type="http://schemas.openxmlformats.org/officeDocument/2006/relationships/hyperlink" Target="https://boardgamegeek.com/boardgame/466/inkognito" TargetMode="External"/><Relationship Id="rId12" Type="http://schemas.openxmlformats.org/officeDocument/2006/relationships/hyperlink" Target="https://boardgamegeek.com/boardgame/17104/canasta" TargetMode="External"/><Relationship Id="rId13" Type="http://schemas.openxmlformats.org/officeDocument/2006/relationships/hyperlink" Target="https://boardgamegeek.com/boardgame/122/quo-vadis" TargetMode="External"/><Relationship Id="rId14" Type="http://schemas.openxmlformats.org/officeDocument/2006/relationships/hyperlink" Target="https://boardgamegeek.com/boardgame/320/scrabble" TargetMode="External"/><Relationship Id="rId15" Type="http://schemas.openxmlformats.org/officeDocument/2006/relationships/hyperlink" Target="https://boardgamegeek.com/boardgame/373106/sky-team" TargetMode="External"/><Relationship Id="rId16" Type="http://schemas.openxmlformats.org/officeDocument/2006/relationships/hyperlink" Target="https://boardgamegeek.com/boardgame/136063/forbidden-desert/versions?pageid=1&amp;language=2188" TargetMode="External"/><Relationship Id="rId17" Type="http://schemas.openxmlformats.org/officeDocument/2006/relationships/hyperlink" Target="https://boardgamegeek.com/boardgame/2397/backgammon" TargetMode="External"/><Relationship Id="rId18" Type="http://schemas.openxmlformats.org/officeDocument/2006/relationships/hyperlink" Target="https://boardgamegeek.com/boardgame/295486/my-city" TargetMode="External"/><Relationship Id="rId19" Type="http://schemas.openxmlformats.org/officeDocument/2006/relationships/hyperlink" Target="https://boardgamegeek.com/boardgame/16719/manhattan" TargetMode="External"/><Relationship Id="rId20" Type="http://schemas.openxmlformats.org/officeDocument/2006/relationships/hyperlink" Target="https://boardgamegeek.com/boardgame/110/auf-achse" TargetMode="External"/><Relationship Id="rId21" Type="http://schemas.openxmlformats.org/officeDocument/2006/relationships/hyperlink" Target="https://boardgamegeek.com/boardgame/424774/dorfromantik-sakura" TargetMode="External"/><Relationship Id="rId22" Type="http://schemas.openxmlformats.org/officeDocument/2006/relationships/hyperlink" Target="https://boardgamegeek.com/boardgame/284083/the-crew-the-quest-for-planet-nine" TargetMode="External"/><Relationship Id="rId23" Type="http://schemas.openxmlformats.org/officeDocument/2006/relationships/hyperlink" Target="https://boardgamegeek.com/boardgame/413246/bomb-busters" TargetMode="External"/><Relationship Id="rId24" Type="http://schemas.openxmlformats.org/officeDocument/2006/relationships/hyperlink" Target="https://boardgamegeek.com/boardgameexpansion/30746/ticket-ride-switzerland" TargetMode="External"/><Relationship Id="rId25" Type="http://schemas.openxmlformats.org/officeDocument/2006/relationships/hyperlink" Target="https://boardgamegeek.com/boardgame/199561/sagrada" TargetMode="External"/><Relationship Id="rId26" Type="http://schemas.openxmlformats.org/officeDocument/2006/relationships/hyperlink" Target="https://boardgamegeek.com/boardgame/2499/equate" TargetMode="External"/><Relationship Id="rId27" Type="http://schemas.openxmlformats.org/officeDocument/2006/relationships/hyperlink" Target="https://boardgamegeek.com/boardgame/14996/ticket-ride-europe" TargetMode="External"/><Relationship Id="rId28" Type="http://schemas.openxmlformats.org/officeDocument/2006/relationships/hyperlink" Target="https://boardgamegeek.com/boardgame/697/conspiracy" TargetMode="External"/><Relationship Id="rId29" Type="http://schemas.openxmlformats.org/officeDocument/2006/relationships/hyperlink" Target="https://boardgamegeek.com/boardgame/2398/cribbage" TargetMode="External"/><Relationship Id="rId30" Type="http://schemas.openxmlformats.org/officeDocument/2006/relationships/hyperlink" Target="https://boardgamegeek.com/boardgame/822/carcassonne" TargetMode="External"/><Relationship Id="rId31" Type="http://schemas.openxmlformats.org/officeDocument/2006/relationships/hyperlink" Target="https://boardgamegeek.com/boardgame/263918/cartographers" TargetMode="External"/><Relationship Id="rId32" Type="http://schemas.openxmlformats.org/officeDocument/2006/relationships/hyperlink" Target="https://boardgamegeek.com/boardgame/120/hoity-toity" TargetMode="External"/><Relationship Id="rId33" Type="http://schemas.openxmlformats.org/officeDocument/2006/relationships/hyperlink" Target="https://boardgamegeek.com/boardgame/284435/nova-luna" TargetMode="External"/><Relationship Id="rId34" Type="http://schemas.openxmlformats.org/officeDocument/2006/relationships/hyperlink" Target="https://boardgamegeek.com/boardgame/2266/gobblet" TargetMode="External"/><Relationship Id="rId35" Type="http://schemas.openxmlformats.org/officeDocument/2006/relationships/hyperlink" Target="https://boardgamegeek.com/boardgame/295947/cascadia" TargetMode="External"/><Relationship Id="rId36" Type="http://schemas.openxmlformats.org/officeDocument/2006/relationships/hyperlink" Target="https://boardgamegeek.com/boardgame/9209/ticket-ride" TargetMode="External"/><Relationship Id="rId37" Type="http://schemas.openxmlformats.org/officeDocument/2006/relationships/hyperlink" Target="https://boardgamegeek.com/boardgame/158899/colt-express" TargetMode="External"/><Relationship Id="rId38" Type="http://schemas.openxmlformats.org/officeDocument/2006/relationships/hyperlink" Target="https://boardgamegeek.com/boardgame/148228/splendor" TargetMode="External"/><Relationship Id="rId39" Type="http://schemas.openxmlformats.org/officeDocument/2006/relationships/hyperlink" Target="https://boardgamegeek.com/boardgame/230802/azul" TargetMode="External"/><Relationship Id="rId40" Type="http://schemas.openxmlformats.org/officeDocument/2006/relationships/hyperlink" Target="https://boardgamegeek.com/boardgame/2453/blokus" TargetMode="External"/><Relationship Id="rId41" Type="http://schemas.openxmlformats.org/officeDocument/2006/relationships/hyperlink" Target="https://boardgamegeek.com/boardgame/811/rummikub" TargetMode="External"/><Relationship Id="rId42" Type="http://schemas.openxmlformats.org/officeDocument/2006/relationships/hyperlink" Target="https://boardgamegeek.com/boardgame/342016/tetris" TargetMode="External"/><Relationship Id="rId43" Type="http://schemas.openxmlformats.org/officeDocument/2006/relationships/hyperlink" Target="https://boardgamegeek.com/boardgame/140933/blueprints" TargetMode="External"/><Relationship Id="rId44" Type="http://schemas.openxmlformats.org/officeDocument/2006/relationships/hyperlink" Target="https://boardgamegeek.com/boardgame/98778/hanabi" TargetMode="External"/><Relationship Id="rId45" Type="http://schemas.openxmlformats.org/officeDocument/2006/relationships/hyperlink" Target="https://boardgamegeek.com/boardgame/150145/skull-king" TargetMode="External"/><Relationship Id="rId46" Type="http://schemas.openxmlformats.org/officeDocument/2006/relationships/hyperlink" Target="https://boardgamegeek.com/boardgame/370591/dorfromantik-board-game" TargetMode="External"/><Relationship Id="rId47" Type="http://schemas.openxmlformats.org/officeDocument/2006/relationships/hyperlink" Target="https://boardgamegeek.com/boardgame/11/bohnanza" TargetMode="External"/><Relationship Id="rId48" Type="http://schemas.openxmlformats.org/officeDocument/2006/relationships/hyperlink" Target="https://boardgamegeek.com/boardgame/214/cafe-international" TargetMode="External"/><Relationship Id="rId49" Type="http://schemas.openxmlformats.org/officeDocument/2006/relationships/hyperlink" Target="https://boardgamegeek.com/boardgame/25669/qwirkle" TargetMode="External"/><Relationship Id="rId50" Type="http://schemas.openxmlformats.org/officeDocument/2006/relationships/hyperlink" Target="https://boardgamegeek.com/boardgame/8829/nobody-perfect" TargetMode="External"/><Relationship Id="rId51" Type="http://schemas.openxmlformats.org/officeDocument/2006/relationships/hyperlink" Target="https://boardgamegeek.com/boardgame/125921/catan-junior" TargetMode="External"/><Relationship Id="rId52" Type="http://schemas.openxmlformats.org/officeDocument/2006/relationships/hyperlink" Target="https://boardgamegeek.com/boardgame/2633/dog" TargetMode="External"/><Relationship Id="rId53" Type="http://schemas.openxmlformats.org/officeDocument/2006/relationships/hyperlink" Target="https://boardgamegeek.com/boardgame/258/fluxx" TargetMode="External"/><Relationship Id="rId54" Type="http://schemas.openxmlformats.org/officeDocument/2006/relationships/hyperlink" Target="https://boardgamegeek.com/boardgame/29223/marrakech" TargetMode="External"/><Relationship Id="rId55" Type="http://schemas.openxmlformats.org/officeDocument/2006/relationships/hyperlink" Target="https://boardgamegeek.com/boardgame/1219/labyrinth" TargetMode="External"/><Relationship Id="rId56" Type="http://schemas.openxmlformats.org/officeDocument/2006/relationships/hyperlink" Target="https://boardgamegeek.com/boardgame/1324/cafe-international-das-kartenspiel" TargetMode="External"/><Relationship Id="rId57" Type="http://schemas.openxmlformats.org/officeDocument/2006/relationships/hyperlink" Target="https://boardgamegeek.com/boardgame/9220/saboteur" TargetMode="External"/><Relationship Id="rId58" Type="http://schemas.openxmlformats.org/officeDocument/2006/relationships/hyperlink" Target="https://boardgamegeek.com/boardgame/92644/schnappt-hubi" TargetMode="External"/><Relationship Id="rId59" Type="http://schemas.openxmlformats.org/officeDocument/2006/relationships/hyperlink" Target="https://boardgamegeek.com/boardgame/11456/zilch" TargetMode="External"/><Relationship Id="rId60" Type="http://schemas.openxmlformats.org/officeDocument/2006/relationships/hyperlink" Target="https://boardgamegeek.com/boardgame/1472/five-crowns" TargetMode="External"/><Relationship Id="rId61" Type="http://schemas.openxmlformats.org/officeDocument/2006/relationships/hyperlink" Target="https://boardgamegeek.com/boardgame/41259/ramses-pyramid" TargetMode="External"/><Relationship Id="rId62" Type="http://schemas.openxmlformats.org/officeDocument/2006/relationships/hyperlink" Target="https://boardgamegeek.com/boardgame/16992/tsuro" TargetMode="External"/><Relationship Id="rId63" Type="http://schemas.openxmlformats.org/officeDocument/2006/relationships/hyperlink" Target="https://boardgamegeek.com/boardgame/204583/kingdomino" TargetMode="External"/><Relationship Id="rId64" Type="http://schemas.openxmlformats.org/officeDocument/2006/relationships/hyperlink" Target="https://boardgamegeek.com/boardgame/4493/kayanak" TargetMode="External"/><Relationship Id="rId65" Type="http://schemas.openxmlformats.org/officeDocument/2006/relationships/hyperlink" Target="https://boardgamegeek.com/boardgame/15818/pickomino" TargetMode="External"/><Relationship Id="rId66" Type="http://schemas.openxmlformats.org/officeDocument/2006/relationships/hyperlink" Target="https://boardgamegeek.com/boardgame/444/escape-hidden-castle" TargetMode="External"/><Relationship Id="rId67" Type="http://schemas.openxmlformats.org/officeDocument/2006/relationships/hyperlink" Target="https://boardgamegeek.com/boardgame/131260/qwixx" TargetMode="External"/><Relationship Id="rId68" Type="http://schemas.openxmlformats.org/officeDocument/2006/relationships/hyperlink" Target="https://boardgamegeek.com/boardgame/3570/chicken-cha-cha-cha" TargetMode="External"/><Relationship Id="rId69" Type="http://schemas.openxmlformats.org/officeDocument/2006/relationships/hyperlink" Target="https://boardgamegeek.com/boardgame/2223/uno" TargetMode="External"/><Relationship Id="rId70" Type="http://schemas.openxmlformats.org/officeDocument/2006/relationships/hyperlink" Target="https://boardgamegeek.com/boardgame/1730/trap-cap" TargetMode="External"/><Relationship Id="rId71" Type="http://schemas.openxmlformats.org/officeDocument/2006/relationships/hyperlink" Target="https://boardgamegeek.com/boardgame/204135/skyjo" TargetMode="External"/><Relationship Id="rId72" Type="http://schemas.openxmlformats.org/officeDocument/2006/relationships/hyperlink" Target="https://boardgamegeek.com/boardgame/244992/mind" TargetMode="External"/><Relationship Id="rId73" Type="http://schemas.openxmlformats.org/officeDocument/2006/relationships/hyperlink" Target="https://boardgamegeek.com/boardgame/118410/dirty-pig" TargetMode="External"/><Relationship Id="rId74" Type="http://schemas.openxmlformats.org/officeDocument/2006/relationships/hyperlink" Target="https://boardgamegeek.com/boardgame/284108/pictures" TargetMode="External"/><Relationship Id="rId75" Type="http://schemas.openxmlformats.org/officeDocument/2006/relationships/hyperlink" Target="https://boardgamegeek.com/boardgame/34943/double-shutter" TargetMode="External"/><Relationship Id="rId76" Type="http://schemas.openxmlformats.org/officeDocument/2006/relationships/hyperlink" Target="https://boardgamegeek.com/boardgame/158268/karma" TargetMode="External"/><Relationship Id="rId77" Type="http://schemas.openxmlformats.org/officeDocument/2006/relationships/hyperlink" Target="https://boardgamegeek.com/boardgame/158268/karma" TargetMode="External"/><Relationship Id="rId78" Type="http://schemas.openxmlformats.org/officeDocument/2006/relationships/hyperlink" Target="https://boardgamegeek.com/boardgame/146997/five-crowns-junior" TargetMode="External"/><Relationship Id="rId79" Type="http://schemas.openxmlformats.org/officeDocument/2006/relationships/hyperlink" Target="https://boardgamegeek.com/boardgame/17672/sailors-game" TargetMode="External"/><Relationship Id="rId80" Type="http://schemas.openxmlformats.org/officeDocument/2006/relationships/hyperlink" Target="https://boardgamegeek.com/boardgame/18840/wissens-spektrum" TargetMode="External"/><Relationship Id="rId81" Type="http://schemas.openxmlformats.org/officeDocument/2006/relationships/hyperlink" Target="https://boardgamegeek.com/boardgame/63335/ostsee-torn" TargetMode="External"/><Relationship Id="rId82" Type="http://schemas.openxmlformats.org/officeDocument/2006/relationships/hyperlink" Target="https://boardgamegeek.com/boardgame/354078/oh-crud" TargetMode="External"/><Relationship Id="rId83" Type="http://schemas.openxmlformats.org/officeDocument/2006/relationships/hyperlink" Target="https://boardgamegeek.com/boardgame/197706/speed-art" TargetMode="External"/><Relationship Id="rId8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V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6" activeCellId="0" sqref="O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4"/>
    <col collapsed="false" customWidth="true" hidden="false" outlineLevel="0" max="3" min="3" style="0" width="6.25"/>
    <col collapsed="false" customWidth="true" hidden="false" outlineLevel="0" max="4" min="4" style="0" width="4"/>
    <col collapsed="false" customWidth="true" hidden="false" outlineLevel="0" max="5" min="5" style="0" width="4.38"/>
    <col collapsed="false" customWidth="true" hidden="false" outlineLevel="0" max="6" min="6" style="0" width="7.75"/>
    <col collapsed="false" customWidth="true" hidden="false" outlineLevel="0" max="7" min="7" style="0" width="4.75"/>
    <col collapsed="false" customWidth="true" hidden="false" outlineLevel="0" max="8" min="8" style="0" width="6.88"/>
    <col collapsed="false" customWidth="true" hidden="false" outlineLevel="0" max="9" min="9" style="0" width="1.88"/>
    <col collapsed="false" customWidth="true" hidden="false" outlineLevel="0" max="10" min="10" style="0" width="8.63"/>
    <col collapsed="false" customWidth="true" hidden="false" outlineLevel="0" max="11" min="11" style="0" width="2.88"/>
    <col collapsed="false" customWidth="true" hidden="false" outlineLevel="0" max="12" min="12" style="0" width="7.63"/>
    <col collapsed="false" customWidth="true" hidden="false" outlineLevel="0" max="13" min="13" style="0" width="1.88"/>
    <col collapsed="false" customWidth="true" hidden="false" outlineLevel="0" max="15" min="15" style="0" width="13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n">
        <v>4</v>
      </c>
      <c r="J1" s="1" t="s">
        <v>8</v>
      </c>
      <c r="K1" s="1" t="n">
        <v>45</v>
      </c>
      <c r="L1" s="1" t="s">
        <v>9</v>
      </c>
      <c r="M1" s="1" t="n">
        <v>6</v>
      </c>
      <c r="N1" s="1" t="s">
        <v>10</v>
      </c>
      <c r="O1" s="1" t="s">
        <v>11</v>
      </c>
      <c r="P1" s="1" t="s">
        <v>12</v>
      </c>
      <c r="Q1" s="3" t="s">
        <v>13</v>
      </c>
      <c r="R1" s="1" t="s">
        <v>14</v>
      </c>
      <c r="S1" s="1" t="s">
        <v>15</v>
      </c>
      <c r="T1" s="4"/>
      <c r="U1" s="4"/>
      <c r="V1" s="4"/>
    </row>
    <row r="2" customFormat="false" ht="15.75" hidden="false" customHeight="false" outlineLevel="0" collapsed="false">
      <c r="A2" s="3" t="s">
        <v>16</v>
      </c>
      <c r="B2" s="3" t="n">
        <v>6</v>
      </c>
      <c r="D2" s="3" t="n">
        <v>2</v>
      </c>
      <c r="E2" s="3" t="n">
        <v>2</v>
      </c>
      <c r="F2" s="5" t="n">
        <v>3.66</v>
      </c>
      <c r="H2" s="6" t="b">
        <f aca="false">AND(D2&lt;=I$1, E2&gt;=I$1)</f>
        <v>0</v>
      </c>
      <c r="J2" s="6" t="b">
        <f aca="false">C2&lt;=K$1</f>
        <v>1</v>
      </c>
      <c r="L2" s="6" t="b">
        <f aca="false">B2&gt;=M$1</f>
        <v>1</v>
      </c>
      <c r="N2" s="6" t="b">
        <f aca="false">AND(H2, J2, L2)</f>
        <v>0</v>
      </c>
      <c r="P2" s="3"/>
      <c r="Q2" s="3" t="s">
        <v>17</v>
      </c>
      <c r="R2" s="7" t="s">
        <v>18</v>
      </c>
      <c r="S2" s="3" t="s">
        <v>19</v>
      </c>
    </row>
    <row r="3" customFormat="false" ht="15.75" hidden="false" customHeight="false" outlineLevel="0" collapsed="false">
      <c r="A3" s="3" t="s">
        <v>20</v>
      </c>
      <c r="B3" s="3" t="n">
        <v>12</v>
      </c>
      <c r="C3" s="3" t="n">
        <v>60</v>
      </c>
      <c r="D3" s="3" t="n">
        <v>1</v>
      </c>
      <c r="E3" s="3" t="n">
        <v>5</v>
      </c>
      <c r="F3" s="5" t="n">
        <v>3.64</v>
      </c>
      <c r="G3" s="3" t="n">
        <v>2007</v>
      </c>
      <c r="H3" s="6" t="b">
        <f aca="false">AND(D3&lt;=I$1, E3&gt;=I$1)</f>
        <v>1</v>
      </c>
      <c r="J3" s="6" t="b">
        <f aca="false">C3&lt;=K$1</f>
        <v>0</v>
      </c>
      <c r="L3" s="6" t="b">
        <f aca="false">B3&gt;=M$1</f>
        <v>1</v>
      </c>
      <c r="N3" s="6" t="b">
        <f aca="false">AND(H3, J3, L3)</f>
        <v>0</v>
      </c>
      <c r="O3" s="3" t="s">
        <v>21</v>
      </c>
      <c r="P3" s="3"/>
      <c r="Q3" s="3" t="s">
        <v>17</v>
      </c>
      <c r="R3" s="7" t="s">
        <v>22</v>
      </c>
      <c r="S3" s="3" t="s">
        <v>23</v>
      </c>
    </row>
    <row r="4" customFormat="false" ht="15.75" hidden="false" customHeight="false" outlineLevel="0" collapsed="false">
      <c r="A4" s="3" t="s">
        <v>24</v>
      </c>
      <c r="B4" s="3" t="n">
        <v>12</v>
      </c>
      <c r="C4" s="3" t="n">
        <v>90</v>
      </c>
      <c r="D4" s="3" t="n">
        <v>2</v>
      </c>
      <c r="E4" s="3" t="n">
        <v>4</v>
      </c>
      <c r="F4" s="5" t="n">
        <v>3.5</v>
      </c>
      <c r="G4" s="3" t="n">
        <v>1997</v>
      </c>
      <c r="H4" s="6" t="b">
        <f aca="false">AND(D4&lt;=I$1, E4&gt;=I$1)</f>
        <v>1</v>
      </c>
      <c r="J4" s="6" t="b">
        <f aca="false">C4&lt;=K$1</f>
        <v>0</v>
      </c>
      <c r="L4" s="6" t="b">
        <f aca="false">B4&gt;=M$1</f>
        <v>1</v>
      </c>
      <c r="N4" s="6" t="b">
        <f aca="false">AND(H4, J4, L4)</f>
        <v>0</v>
      </c>
      <c r="O4" s="3" t="s">
        <v>25</v>
      </c>
      <c r="P4" s="3"/>
      <c r="Q4" s="3" t="s">
        <v>17</v>
      </c>
      <c r="R4" s="7" t="s">
        <v>26</v>
      </c>
    </row>
    <row r="5" customFormat="false" ht="15.75" hidden="false" customHeight="false" outlineLevel="0" collapsed="false">
      <c r="A5" s="3" t="s">
        <v>27</v>
      </c>
      <c r="B5" s="3" t="n">
        <v>12</v>
      </c>
      <c r="C5" s="3" t="n">
        <v>120</v>
      </c>
      <c r="D5" s="3" t="n">
        <v>2</v>
      </c>
      <c r="E5" s="3" t="n">
        <v>6</v>
      </c>
      <c r="F5" s="5" t="n">
        <v>3.25</v>
      </c>
      <c r="G5" s="3" t="n">
        <v>2004</v>
      </c>
      <c r="H5" s="6" t="b">
        <f aca="false">AND(D5&lt;=I$1, E5&gt;=I$1)</f>
        <v>1</v>
      </c>
      <c r="J5" s="6" t="b">
        <f aca="false">C5&lt;=K$1</f>
        <v>0</v>
      </c>
      <c r="L5" s="6" t="b">
        <f aca="false">B5&gt;=M$1</f>
        <v>1</v>
      </c>
      <c r="N5" s="6" t="b">
        <f aca="false">AND(H5, J5, L5)</f>
        <v>0</v>
      </c>
      <c r="O5" s="0" t="s">
        <v>25</v>
      </c>
      <c r="Q5" s="3" t="s">
        <v>17</v>
      </c>
      <c r="R5" s="7" t="s">
        <v>28</v>
      </c>
    </row>
    <row r="6" customFormat="false" ht="15.75" hidden="false" customHeight="false" outlineLevel="0" collapsed="false">
      <c r="A6" s="3" t="s">
        <v>29</v>
      </c>
      <c r="B6" s="3" t="n">
        <v>12</v>
      </c>
      <c r="C6" s="3" t="n">
        <v>75</v>
      </c>
      <c r="D6" s="3" t="n">
        <v>2</v>
      </c>
      <c r="E6" s="3" t="n">
        <v>4</v>
      </c>
      <c r="F6" s="5" t="n">
        <v>3.07</v>
      </c>
      <c r="G6" s="3" t="n">
        <v>2011</v>
      </c>
      <c r="H6" s="6" t="b">
        <f aca="false">AND(D6&lt;=I$1, E6&gt;=I$1)</f>
        <v>1</v>
      </c>
      <c r="J6" s="6" t="b">
        <f aca="false">C6&lt;=K$1</f>
        <v>0</v>
      </c>
      <c r="L6" s="6" t="b">
        <f aca="false">B6&gt;=M$1</f>
        <v>1</v>
      </c>
      <c r="N6" s="6" t="b">
        <f aca="false">AND(H6, J6, L6)</f>
        <v>0</v>
      </c>
      <c r="O6" s="3" t="s">
        <v>21</v>
      </c>
      <c r="P6" s="3" t="s">
        <v>30</v>
      </c>
      <c r="Q6" s="3" t="s">
        <v>17</v>
      </c>
      <c r="R6" s="7" t="s">
        <v>31</v>
      </c>
    </row>
    <row r="7" customFormat="false" ht="15.75" hidden="false" customHeight="false" outlineLevel="0" collapsed="false">
      <c r="A7" s="3" t="s">
        <v>32</v>
      </c>
      <c r="B7" s="3" t="n">
        <v>12</v>
      </c>
      <c r="C7" s="3" t="n">
        <v>80</v>
      </c>
      <c r="D7" s="3" t="n">
        <v>2</v>
      </c>
      <c r="E7" s="3" t="n">
        <v>5</v>
      </c>
      <c r="F7" s="5" t="n">
        <v>3</v>
      </c>
      <c r="G7" s="3" t="n">
        <v>2022</v>
      </c>
      <c r="H7" s="6" t="b">
        <f aca="false">AND(D7&lt;=I$1, E7&gt;=I$1)</f>
        <v>1</v>
      </c>
      <c r="J7" s="6" t="b">
        <f aca="false">C7&lt;=K$1</f>
        <v>0</v>
      </c>
      <c r="L7" s="6" t="b">
        <f aca="false">B7&gt;=M$1</f>
        <v>1</v>
      </c>
      <c r="N7" s="6" t="b">
        <f aca="false">AND(H7, J7, L7)</f>
        <v>0</v>
      </c>
      <c r="O7" s="3" t="s">
        <v>33</v>
      </c>
      <c r="Q7" s="3" t="s">
        <v>17</v>
      </c>
      <c r="R7" s="7" t="s">
        <v>34</v>
      </c>
      <c r="S7" s="3" t="s">
        <v>35</v>
      </c>
    </row>
    <row r="8" customFormat="false" ht="15.75" hidden="false" customHeight="false" outlineLevel="0" collapsed="false">
      <c r="A8" s="3" t="s">
        <v>36</v>
      </c>
      <c r="B8" s="3" t="n">
        <v>10</v>
      </c>
      <c r="C8" s="3" t="n">
        <v>60</v>
      </c>
      <c r="D8" s="3" t="n">
        <v>1</v>
      </c>
      <c r="E8" s="3" t="n">
        <v>4</v>
      </c>
      <c r="F8" s="5" t="n">
        <v>2.81</v>
      </c>
      <c r="G8" s="3" t="n">
        <v>2018</v>
      </c>
      <c r="H8" s="6" t="b">
        <f aca="false">AND(D8&lt;=I$1, E8&gt;=I$1)</f>
        <v>1</v>
      </c>
      <c r="J8" s="6" t="b">
        <f aca="false">C8&lt;=K$1</f>
        <v>0</v>
      </c>
      <c r="L8" s="6" t="b">
        <f aca="false">B8&gt;=M$1</f>
        <v>1</v>
      </c>
      <c r="N8" s="6" t="b">
        <f aca="false">AND(H8, J8, L8)</f>
        <v>0</v>
      </c>
      <c r="P8" s="3" t="s">
        <v>37</v>
      </c>
      <c r="Q8" s="3" t="s">
        <v>17</v>
      </c>
      <c r="R8" s="7" t="s">
        <v>38</v>
      </c>
      <c r="S8" s="3" t="s">
        <v>39</v>
      </c>
    </row>
    <row r="9" customFormat="false" ht="15.75" hidden="false" customHeight="false" outlineLevel="0" collapsed="false">
      <c r="A9" s="3" t="s">
        <v>40</v>
      </c>
      <c r="B9" s="3" t="n">
        <v>10</v>
      </c>
      <c r="C9" s="3" t="n">
        <v>60</v>
      </c>
      <c r="D9" s="3" t="n">
        <v>1</v>
      </c>
      <c r="E9" s="3" t="n">
        <v>5</v>
      </c>
      <c r="F9" s="5" t="n">
        <v>2.45</v>
      </c>
      <c r="G9" s="3" t="n">
        <v>2019</v>
      </c>
      <c r="H9" s="6" t="b">
        <f aca="false">AND(D9&lt;=I$1, E9&gt;=I$1)</f>
        <v>1</v>
      </c>
      <c r="J9" s="6" t="b">
        <f aca="false">C9&lt;=K$1</f>
        <v>0</v>
      </c>
      <c r="L9" s="6" t="b">
        <f aca="false">B9&gt;=M$1</f>
        <v>1</v>
      </c>
      <c r="N9" s="6" t="b">
        <f aca="false">AND(H9, J9, L9)</f>
        <v>0</v>
      </c>
      <c r="O9" s="3" t="s">
        <v>21</v>
      </c>
      <c r="P9" s="3"/>
      <c r="Q9" s="3" t="s">
        <v>17</v>
      </c>
      <c r="R9" s="7" t="s">
        <v>41</v>
      </c>
    </row>
    <row r="10" customFormat="false" ht="15.75" hidden="false" customHeight="false" outlineLevel="0" collapsed="false">
      <c r="A10" s="3" t="s">
        <v>42</v>
      </c>
      <c r="B10" s="3" t="n">
        <v>10</v>
      </c>
      <c r="C10" s="3" t="n">
        <v>60</v>
      </c>
      <c r="D10" s="3" t="n">
        <v>2</v>
      </c>
      <c r="E10" s="3" t="n">
        <v>2</v>
      </c>
      <c r="F10" s="5" t="n">
        <v>2.32</v>
      </c>
      <c r="G10" s="3" t="n">
        <v>2010</v>
      </c>
      <c r="H10" s="6" t="b">
        <f aca="false">AND(D10&lt;=I$1, E10&gt;=I$1)</f>
        <v>0</v>
      </c>
      <c r="J10" s="6" t="b">
        <f aca="false">C10&lt;=K$1</f>
        <v>0</v>
      </c>
      <c r="L10" s="6" t="b">
        <f aca="false">B10&gt;=M$1</f>
        <v>1</v>
      </c>
      <c r="N10" s="6" t="b">
        <f aca="false">AND(H10, J10, L10)</f>
        <v>0</v>
      </c>
      <c r="P10" s="3" t="s">
        <v>43</v>
      </c>
      <c r="Q10" s="3" t="s">
        <v>17</v>
      </c>
      <c r="R10" s="7" t="s">
        <v>44</v>
      </c>
      <c r="S10" s="3" t="s">
        <v>45</v>
      </c>
    </row>
    <row r="11" customFormat="false" ht="15.75" hidden="false" customHeight="false" outlineLevel="0" collapsed="false">
      <c r="A11" s="3" t="s">
        <v>46</v>
      </c>
      <c r="B11" s="3" t="n">
        <v>10</v>
      </c>
      <c r="C11" s="3" t="n">
        <v>50</v>
      </c>
      <c r="D11" s="3" t="n">
        <v>2</v>
      </c>
      <c r="E11" s="3" t="n">
        <v>4</v>
      </c>
      <c r="F11" s="5" t="n">
        <v>2.29</v>
      </c>
      <c r="G11" s="3" t="n">
        <v>2004</v>
      </c>
      <c r="H11" s="6" t="b">
        <f aca="false">AND(D11&lt;=I$1, E11&gt;=I$1)</f>
        <v>1</v>
      </c>
      <c r="J11" s="6" t="b">
        <f aca="false">C11&lt;=K$1</f>
        <v>0</v>
      </c>
      <c r="L11" s="6" t="b">
        <f aca="false">B11&gt;=M$1</f>
        <v>1</v>
      </c>
      <c r="N11" s="6" t="b">
        <f aca="false">AND(H11, J11, L11)</f>
        <v>0</v>
      </c>
      <c r="O11" s="3" t="s">
        <v>25</v>
      </c>
      <c r="P11" s="3"/>
      <c r="Q11" s="3" t="s">
        <v>47</v>
      </c>
      <c r="R11" s="7" t="s">
        <v>48</v>
      </c>
    </row>
    <row r="12" customFormat="false" ht="15.75" hidden="false" customHeight="false" outlineLevel="0" collapsed="false">
      <c r="A12" s="3" t="s">
        <v>49</v>
      </c>
      <c r="B12" s="3" t="n">
        <v>10</v>
      </c>
      <c r="C12" s="3" t="n">
        <v>90</v>
      </c>
      <c r="D12" s="3" t="n">
        <v>2</v>
      </c>
      <c r="E12" s="3" t="n">
        <v>4</v>
      </c>
      <c r="F12" s="5" t="n">
        <v>2.16</v>
      </c>
      <c r="G12" s="3" t="n">
        <v>1988</v>
      </c>
      <c r="H12" s="6" t="b">
        <f aca="false">AND(D12&lt;=I$1, E12&gt;=I$1)</f>
        <v>1</v>
      </c>
      <c r="J12" s="6" t="b">
        <f aca="false">C12&lt;=K$1</f>
        <v>0</v>
      </c>
      <c r="L12" s="6" t="b">
        <f aca="false">B12&gt;=M$1</f>
        <v>1</v>
      </c>
      <c r="N12" s="6" t="b">
        <f aca="false">AND(H12, J12, L12)</f>
        <v>0</v>
      </c>
      <c r="O12" s="3" t="s">
        <v>11</v>
      </c>
      <c r="P12" s="3"/>
      <c r="Q12" s="3" t="s">
        <v>17</v>
      </c>
      <c r="R12" s="7" t="s">
        <v>50</v>
      </c>
      <c r="S12" s="3" t="s">
        <v>51</v>
      </c>
    </row>
    <row r="13" customFormat="false" ht="15.75" hidden="false" customHeight="false" outlineLevel="0" collapsed="false">
      <c r="A13" s="3" t="s">
        <v>52</v>
      </c>
      <c r="B13" s="3" t="n">
        <v>12</v>
      </c>
      <c r="C13" s="3" t="n">
        <v>45</v>
      </c>
      <c r="D13" s="3" t="n">
        <v>2</v>
      </c>
      <c r="E13" s="3" t="n">
        <v>6</v>
      </c>
      <c r="F13" s="5" t="n">
        <v>2.14</v>
      </c>
      <c r="H13" s="6" t="b">
        <f aca="false">AND(D13&lt;=I$1, E13&gt;=I$1)</f>
        <v>1</v>
      </c>
      <c r="J13" s="6" t="b">
        <f aca="false">C13&lt;=K$1</f>
        <v>1</v>
      </c>
      <c r="L13" s="6" t="b">
        <f aca="false">B13&gt;=M$1</f>
        <v>1</v>
      </c>
      <c r="N13" s="6" t="b">
        <f aca="false">AND(H13, J13, L13)</f>
        <v>1</v>
      </c>
      <c r="Q13" s="3" t="s">
        <v>47</v>
      </c>
      <c r="R13" s="7" t="s">
        <v>53</v>
      </c>
    </row>
    <row r="14" customFormat="false" ht="15.75" hidden="false" customHeight="false" outlineLevel="0" collapsed="false">
      <c r="A14" s="3" t="s">
        <v>54</v>
      </c>
      <c r="B14" s="3" t="n">
        <v>8</v>
      </c>
      <c r="C14" s="3" t="n">
        <v>30</v>
      </c>
      <c r="D14" s="3" t="n">
        <v>3</v>
      </c>
      <c r="E14" s="3" t="n">
        <v>5</v>
      </c>
      <c r="F14" s="5" t="n">
        <v>2.08</v>
      </c>
      <c r="G14" s="3" t="n">
        <v>1992</v>
      </c>
      <c r="H14" s="6" t="b">
        <f aca="false">AND(D14&lt;=I$1, E14&gt;=I$1)</f>
        <v>1</v>
      </c>
      <c r="J14" s="6" t="b">
        <f aca="false">C14&lt;=K$1</f>
        <v>1</v>
      </c>
      <c r="L14" s="6" t="b">
        <f aca="false">B14&gt;=M$1</f>
        <v>1</v>
      </c>
      <c r="N14" s="6" t="b">
        <f aca="false">AND(H14, J14, L14)</f>
        <v>1</v>
      </c>
      <c r="P14" s="3" t="s">
        <v>30</v>
      </c>
      <c r="Q14" s="3" t="s">
        <v>17</v>
      </c>
      <c r="R14" s="7" t="s">
        <v>55</v>
      </c>
      <c r="S14" s="3" t="s">
        <v>56</v>
      </c>
    </row>
    <row r="15" customFormat="false" ht="15.75" hidden="false" customHeight="false" outlineLevel="0" collapsed="false">
      <c r="A15" s="3" t="s">
        <v>57</v>
      </c>
      <c r="B15" s="3" t="n">
        <v>10</v>
      </c>
      <c r="C15" s="3" t="n">
        <v>90</v>
      </c>
      <c r="D15" s="3" t="n">
        <v>2</v>
      </c>
      <c r="E15" s="3" t="n">
        <v>4</v>
      </c>
      <c r="F15" s="5" t="n">
        <v>2.07</v>
      </c>
      <c r="G15" s="3" t="n">
        <v>1948</v>
      </c>
      <c r="H15" s="6" t="b">
        <f aca="false">AND(D15&lt;=I$1, E15&gt;=I$1)</f>
        <v>1</v>
      </c>
      <c r="J15" s="6" t="b">
        <f aca="false">C15&lt;=K$1</f>
        <v>0</v>
      </c>
      <c r="L15" s="6" t="b">
        <f aca="false">B15&gt;=M$1</f>
        <v>1</v>
      </c>
      <c r="N15" s="6" t="b">
        <f aca="false">AND(H15, J15, L15)</f>
        <v>0</v>
      </c>
      <c r="P15" s="3" t="s">
        <v>30</v>
      </c>
      <c r="Q15" s="3" t="s">
        <v>17</v>
      </c>
      <c r="R15" s="7" t="s">
        <v>58</v>
      </c>
    </row>
    <row r="16" customFormat="false" ht="15.75" hidden="false" customHeight="false" outlineLevel="0" collapsed="false">
      <c r="A16" s="3" t="s">
        <v>59</v>
      </c>
      <c r="B16" s="3" t="n">
        <v>12</v>
      </c>
      <c r="C16" s="3" t="n">
        <v>20</v>
      </c>
      <c r="D16" s="3" t="n">
        <v>2</v>
      </c>
      <c r="E16" s="3" t="n">
        <v>2</v>
      </c>
      <c r="F16" s="5" t="n">
        <v>2.05</v>
      </c>
      <c r="G16" s="3" t="n">
        <v>2024</v>
      </c>
      <c r="H16" s="6" t="b">
        <f aca="false">AND(D16&lt;=I$1, E16&gt;=I$1)</f>
        <v>0</v>
      </c>
      <c r="J16" s="6" t="b">
        <f aca="false">C16&lt;=K$1</f>
        <v>1</v>
      </c>
      <c r="L16" s="6" t="b">
        <f aca="false">B16&gt;=M$1</f>
        <v>1</v>
      </c>
      <c r="N16" s="6" t="b">
        <f aca="false">AND(H16, J16, L16)</f>
        <v>0</v>
      </c>
      <c r="O16" s="3" t="s">
        <v>11</v>
      </c>
      <c r="P16" s="3" t="s">
        <v>43</v>
      </c>
      <c r="Q16" s="3" t="s">
        <v>17</v>
      </c>
      <c r="R16" s="7" t="s">
        <v>60</v>
      </c>
      <c r="S16" s="3" t="s">
        <v>61</v>
      </c>
    </row>
    <row r="17" customFormat="false" ht="15.75" hidden="false" customHeight="false" outlineLevel="0" collapsed="false">
      <c r="A17" s="3" t="s">
        <v>62</v>
      </c>
      <c r="B17" s="3" t="n">
        <v>10</v>
      </c>
      <c r="C17" s="3" t="n">
        <v>45</v>
      </c>
      <c r="D17" s="3" t="n">
        <v>2</v>
      </c>
      <c r="E17" s="3" t="n">
        <v>5</v>
      </c>
      <c r="F17" s="5" t="n">
        <v>2.04</v>
      </c>
      <c r="G17" s="3" t="n">
        <v>2013</v>
      </c>
      <c r="H17" s="6" t="b">
        <f aca="false">AND(D17&lt;=I$1, E17&gt;=I$1)</f>
        <v>1</v>
      </c>
      <c r="J17" s="6" t="b">
        <f aca="false">C17&lt;=K$1</f>
        <v>1</v>
      </c>
      <c r="L17" s="6" t="b">
        <f aca="false">B17&gt;=M$1</f>
        <v>1</v>
      </c>
      <c r="N17" s="6" t="b">
        <f aca="false">AND(H17, J17, L17)</f>
        <v>1</v>
      </c>
      <c r="P17" s="3"/>
      <c r="Q17" s="3" t="s">
        <v>17</v>
      </c>
      <c r="R17" s="7" t="s">
        <v>63</v>
      </c>
      <c r="S17" s="3" t="s">
        <v>64</v>
      </c>
    </row>
    <row r="18" customFormat="false" ht="15.75" hidden="false" customHeight="false" outlineLevel="0" collapsed="false">
      <c r="A18" s="3" t="s">
        <v>65</v>
      </c>
      <c r="B18" s="3" t="n">
        <v>8</v>
      </c>
      <c r="C18" s="3" t="n">
        <v>30</v>
      </c>
      <c r="D18" s="3" t="n">
        <v>2</v>
      </c>
      <c r="E18" s="3" t="n">
        <v>2</v>
      </c>
      <c r="F18" s="5" t="n">
        <v>2.01</v>
      </c>
      <c r="H18" s="6" t="b">
        <f aca="false">AND(D18&lt;=I$1, E18&gt;=I$1)</f>
        <v>0</v>
      </c>
      <c r="J18" s="6" t="b">
        <f aca="false">C18&lt;=K$1</f>
        <v>1</v>
      </c>
      <c r="L18" s="6" t="b">
        <f aca="false">B18&gt;=M$1</f>
        <v>1</v>
      </c>
      <c r="N18" s="6" t="b">
        <f aca="false">AND(H18, J18, L18)</f>
        <v>0</v>
      </c>
      <c r="P18" s="3"/>
      <c r="Q18" s="3" t="s">
        <v>17</v>
      </c>
      <c r="R18" s="7" t="s">
        <v>66</v>
      </c>
      <c r="S18" s="3" t="s">
        <v>19</v>
      </c>
    </row>
    <row r="19" customFormat="false" ht="15.75" hidden="false" customHeight="false" outlineLevel="0" collapsed="false">
      <c r="A19" s="3" t="s">
        <v>67</v>
      </c>
      <c r="B19" s="3" t="n">
        <v>10</v>
      </c>
      <c r="C19" s="3" t="n">
        <v>30</v>
      </c>
      <c r="D19" s="3" t="n">
        <v>2</v>
      </c>
      <c r="E19" s="3" t="n">
        <v>4</v>
      </c>
      <c r="F19" s="5" t="n">
        <v>2</v>
      </c>
      <c r="G19" s="3" t="n">
        <v>2020</v>
      </c>
      <c r="H19" s="6" t="b">
        <f aca="false">AND(D19&lt;=I$1, E19&gt;=I$1)</f>
        <v>1</v>
      </c>
      <c r="J19" s="6" t="b">
        <f aca="false">C19&lt;=K$1</f>
        <v>1</v>
      </c>
      <c r="L19" s="6" t="b">
        <f aca="false">B19&gt;=M$1</f>
        <v>1</v>
      </c>
      <c r="N19" s="6" t="b">
        <f aca="false">AND(H19, J19, L19)</f>
        <v>1</v>
      </c>
      <c r="O19" s="3" t="s">
        <v>25</v>
      </c>
      <c r="P19" s="3"/>
      <c r="Q19" s="3" t="s">
        <v>17</v>
      </c>
      <c r="R19" s="7" t="s">
        <v>68</v>
      </c>
      <c r="S19" s="3" t="s">
        <v>56</v>
      </c>
    </row>
    <row r="20" customFormat="false" ht="15.75" hidden="false" customHeight="false" outlineLevel="0" collapsed="false">
      <c r="A20" s="3" t="s">
        <v>69</v>
      </c>
      <c r="B20" s="3" t="n">
        <v>8</v>
      </c>
      <c r="C20" s="3" t="n">
        <v>60</v>
      </c>
      <c r="D20" s="3" t="n">
        <v>2</v>
      </c>
      <c r="E20" s="3" t="n">
        <v>6</v>
      </c>
      <c r="F20" s="5" t="n">
        <v>2</v>
      </c>
      <c r="G20" s="3" t="n">
        <v>1986</v>
      </c>
      <c r="H20" s="6" t="b">
        <f aca="false">AND(D20&lt;=I$1, E20&gt;=I$1)</f>
        <v>1</v>
      </c>
      <c r="J20" s="6" t="b">
        <f aca="false">C20&lt;=K$1</f>
        <v>0</v>
      </c>
      <c r="L20" s="6" t="b">
        <f aca="false">B20&gt;=M$1</f>
        <v>1</v>
      </c>
      <c r="N20" s="6" t="b">
        <f aca="false">AND(H20, J20, L20)</f>
        <v>0</v>
      </c>
      <c r="P20" s="3" t="s">
        <v>30</v>
      </c>
      <c r="Q20" s="3" t="s">
        <v>17</v>
      </c>
      <c r="R20" s="7" t="s">
        <v>70</v>
      </c>
      <c r="S20" s="3" t="s">
        <v>71</v>
      </c>
    </row>
    <row r="21" customFormat="false" ht="15.75" hidden="false" customHeight="false" outlineLevel="0" collapsed="false">
      <c r="A21" s="3" t="s">
        <v>72</v>
      </c>
      <c r="B21" s="3" t="n">
        <v>8</v>
      </c>
      <c r="C21" s="3" t="n">
        <v>60</v>
      </c>
      <c r="D21" s="3" t="n">
        <v>2</v>
      </c>
      <c r="E21" s="3" t="n">
        <v>6</v>
      </c>
      <c r="F21" s="5" t="n">
        <v>1.96</v>
      </c>
      <c r="G21" s="3" t="n">
        <v>1987</v>
      </c>
      <c r="H21" s="6" t="b">
        <f aca="false">AND(D21&lt;=I$1, E21&gt;=I$1)</f>
        <v>1</v>
      </c>
      <c r="J21" s="6" t="b">
        <f aca="false">C21&lt;=K$1</f>
        <v>0</v>
      </c>
      <c r="L21" s="6" t="b">
        <f aca="false">B21&gt;=M$1</f>
        <v>1</v>
      </c>
      <c r="N21" s="6" t="b">
        <f aca="false">AND(H21, J21, L21)</f>
        <v>0</v>
      </c>
      <c r="O21" s="3" t="s">
        <v>11</v>
      </c>
      <c r="P21" s="3" t="s">
        <v>30</v>
      </c>
      <c r="Q21" s="3" t="s">
        <v>17</v>
      </c>
      <c r="R21" s="7" t="s">
        <v>73</v>
      </c>
      <c r="S21" s="3" t="s">
        <v>74</v>
      </c>
    </row>
    <row r="22" customFormat="false" ht="15.75" hidden="false" customHeight="false" outlineLevel="0" collapsed="false">
      <c r="A22" s="3" t="s">
        <v>75</v>
      </c>
      <c r="B22" s="3" t="n">
        <v>10</v>
      </c>
      <c r="C22" s="3" t="n">
        <v>45</v>
      </c>
      <c r="D22" s="3" t="n">
        <v>1</v>
      </c>
      <c r="E22" s="3" t="n">
        <v>6</v>
      </c>
      <c r="F22" s="5" t="n">
        <v>1.96</v>
      </c>
      <c r="G22" s="3" t="n">
        <v>2024</v>
      </c>
      <c r="H22" s="6" t="b">
        <f aca="false">AND(D22&lt;=I$1, E22&gt;=I$1)</f>
        <v>1</v>
      </c>
      <c r="J22" s="6" t="b">
        <f aca="false">C22&lt;=K$1</f>
        <v>1</v>
      </c>
      <c r="L22" s="6" t="b">
        <f aca="false">B22&gt;=M$1</f>
        <v>1</v>
      </c>
      <c r="N22" s="6" t="b">
        <f aca="false">AND(H22, J22, L22)</f>
        <v>1</v>
      </c>
      <c r="P22" s="3"/>
      <c r="Q22" s="3" t="s">
        <v>17</v>
      </c>
      <c r="R22" s="7" t="s">
        <v>76</v>
      </c>
      <c r="S22" s="3"/>
    </row>
    <row r="23" customFormat="false" ht="15.75" hidden="false" customHeight="false" outlineLevel="0" collapsed="false">
      <c r="A23" s="3" t="s">
        <v>77</v>
      </c>
      <c r="B23" s="3" t="n">
        <v>10</v>
      </c>
      <c r="C23" s="3" t="n">
        <v>20</v>
      </c>
      <c r="D23" s="3" t="n">
        <v>2</v>
      </c>
      <c r="E23" s="3" t="n">
        <v>5</v>
      </c>
      <c r="F23" s="5" t="n">
        <v>1.96</v>
      </c>
      <c r="G23" s="3" t="n">
        <v>2019</v>
      </c>
      <c r="H23" s="6" t="b">
        <f aca="false">AND(D23&lt;=I$1, E23&gt;=I$1)</f>
        <v>1</v>
      </c>
      <c r="J23" s="6" t="b">
        <f aca="false">C23&lt;=K$1</f>
        <v>1</v>
      </c>
      <c r="L23" s="6" t="b">
        <f aca="false">B23&gt;=M$1</f>
        <v>1</v>
      </c>
      <c r="N23" s="6" t="b">
        <f aca="false">AND(H23, J23, L23)</f>
        <v>1</v>
      </c>
      <c r="O23" s="3" t="s">
        <v>21</v>
      </c>
      <c r="P23" s="3" t="s">
        <v>78</v>
      </c>
      <c r="Q23" s="3" t="s">
        <v>17</v>
      </c>
      <c r="R23" s="7" t="s">
        <v>79</v>
      </c>
    </row>
    <row r="24" customFormat="false" ht="15.75" hidden="false" customHeight="false" outlineLevel="0" collapsed="false">
      <c r="A24" s="3" t="s">
        <v>80</v>
      </c>
      <c r="B24" s="3" t="n">
        <v>10</v>
      </c>
      <c r="C24" s="3" t="n">
        <v>30</v>
      </c>
      <c r="D24" s="3" t="n">
        <v>2</v>
      </c>
      <c r="E24" s="3" t="n">
        <v>5</v>
      </c>
      <c r="F24" s="5" t="n">
        <v>1.95</v>
      </c>
      <c r="G24" s="3" t="n">
        <v>2024</v>
      </c>
      <c r="H24" s="6" t="b">
        <f aca="false">AND(D24&lt;=I$1, E24&gt;=I$1)</f>
        <v>1</v>
      </c>
      <c r="J24" s="6" t="b">
        <f aca="false">C24&lt;=K$1</f>
        <v>1</v>
      </c>
      <c r="L24" s="6" t="b">
        <f aca="false">B24&gt;=M$1</f>
        <v>1</v>
      </c>
      <c r="N24" s="6" t="b">
        <f aca="false">AND(H24, J24, L24)</f>
        <v>1</v>
      </c>
      <c r="O24" s="3" t="s">
        <v>11</v>
      </c>
      <c r="P24" s="3" t="s">
        <v>30</v>
      </c>
      <c r="Q24" s="3" t="s">
        <v>17</v>
      </c>
      <c r="R24" s="7" t="s">
        <v>81</v>
      </c>
      <c r="S24" s="3"/>
    </row>
    <row r="25" customFormat="false" ht="15.75" hidden="false" customHeight="false" outlineLevel="0" collapsed="false">
      <c r="A25" s="3" t="s">
        <v>82</v>
      </c>
      <c r="B25" s="3" t="n">
        <v>8</v>
      </c>
      <c r="C25" s="3" t="n">
        <v>45</v>
      </c>
      <c r="D25" s="3" t="n">
        <v>2</v>
      </c>
      <c r="E25" s="3" t="n">
        <v>3</v>
      </c>
      <c r="F25" s="5" t="n">
        <v>1.95</v>
      </c>
      <c r="G25" s="3" t="n">
        <v>2007</v>
      </c>
      <c r="H25" s="6" t="b">
        <f aca="false">AND(D25&lt;=I$1, E25&gt;=I$1)</f>
        <v>0</v>
      </c>
      <c r="J25" s="6" t="b">
        <f aca="false">C25&lt;=K$1</f>
        <v>1</v>
      </c>
      <c r="L25" s="6" t="b">
        <f aca="false">B25&gt;=M$1</f>
        <v>1</v>
      </c>
      <c r="N25" s="6" t="b">
        <f aca="false">AND(H25, J25, L25)</f>
        <v>0</v>
      </c>
      <c r="P25" s="3"/>
      <c r="Q25" s="3" t="s">
        <v>17</v>
      </c>
      <c r="R25" s="7" t="s">
        <v>83</v>
      </c>
      <c r="S25" s="3" t="s">
        <v>84</v>
      </c>
    </row>
    <row r="26" customFormat="false" ht="15.75" hidden="false" customHeight="false" outlineLevel="0" collapsed="false">
      <c r="A26" s="3" t="s">
        <v>85</v>
      </c>
      <c r="B26" s="3" t="n">
        <v>14</v>
      </c>
      <c r="C26" s="3" t="n">
        <v>40</v>
      </c>
      <c r="D26" s="3" t="n">
        <v>1</v>
      </c>
      <c r="E26" s="3" t="n">
        <v>4</v>
      </c>
      <c r="F26" s="5" t="n">
        <v>1.92</v>
      </c>
      <c r="G26" s="3" t="n">
        <v>2017</v>
      </c>
      <c r="H26" s="6" t="b">
        <f aca="false">AND(D26&lt;=I$1, E26&gt;=I$1)</f>
        <v>1</v>
      </c>
      <c r="J26" s="6" t="b">
        <f aca="false">C26&lt;=K$1</f>
        <v>1</v>
      </c>
      <c r="L26" s="6" t="b">
        <f aca="false">B26&gt;=M$1</f>
        <v>1</v>
      </c>
      <c r="N26" s="6" t="b">
        <f aca="false">AND(H26, J26, L26)</f>
        <v>1</v>
      </c>
      <c r="P26" s="3"/>
      <c r="Q26" s="3" t="s">
        <v>86</v>
      </c>
      <c r="R26" s="7" t="s">
        <v>87</v>
      </c>
      <c r="S26" s="8" t="s">
        <v>88</v>
      </c>
    </row>
    <row r="27" customFormat="false" ht="15.75" hidden="false" customHeight="false" outlineLevel="0" collapsed="false">
      <c r="A27" s="3" t="s">
        <v>89</v>
      </c>
      <c r="B27" s="3" t="n">
        <v>8</v>
      </c>
      <c r="C27" s="3" t="n">
        <v>120</v>
      </c>
      <c r="D27" s="3" t="n">
        <v>2</v>
      </c>
      <c r="E27" s="3" t="n">
        <v>4</v>
      </c>
      <c r="F27" s="5" t="n">
        <v>1.92</v>
      </c>
      <c r="G27" s="3" t="n">
        <v>1996</v>
      </c>
      <c r="H27" s="6" t="b">
        <f aca="false">AND(D27&lt;=I$1, E27&gt;=I$1)</f>
        <v>1</v>
      </c>
      <c r="J27" s="6" t="b">
        <f aca="false">C27&lt;=K$1</f>
        <v>0</v>
      </c>
      <c r="L27" s="6" t="b">
        <f aca="false">B27&gt;=M$1</f>
        <v>1</v>
      </c>
      <c r="N27" s="6" t="b">
        <f aca="false">AND(H27, J27, L27)</f>
        <v>0</v>
      </c>
      <c r="P27" s="3"/>
      <c r="Q27" s="3" t="s">
        <v>17</v>
      </c>
      <c r="R27" s="7" t="s">
        <v>90</v>
      </c>
      <c r="S27" s="3" t="s">
        <v>91</v>
      </c>
    </row>
    <row r="28" customFormat="false" ht="15.75" hidden="false" customHeight="false" outlineLevel="0" collapsed="false">
      <c r="A28" s="3" t="s">
        <v>92</v>
      </c>
      <c r="B28" s="3" t="n">
        <v>8</v>
      </c>
      <c r="C28" s="3" t="n">
        <v>45</v>
      </c>
      <c r="D28" s="3" t="n">
        <v>2</v>
      </c>
      <c r="E28" s="3" t="n">
        <v>5</v>
      </c>
      <c r="F28" s="5" t="n">
        <v>1.92</v>
      </c>
      <c r="G28" s="3" t="n">
        <v>2005</v>
      </c>
      <c r="H28" s="6" t="b">
        <f aca="false">AND(D28&lt;=I$1, E28&gt;=I$1)</f>
        <v>1</v>
      </c>
      <c r="J28" s="6" t="b">
        <f aca="false">C28&lt;=K$1</f>
        <v>1</v>
      </c>
      <c r="L28" s="6" t="b">
        <f aca="false">B28&gt;=M$1</f>
        <v>1</v>
      </c>
      <c r="N28" s="6" t="b">
        <f aca="false">AND(H28, J28, L28)</f>
        <v>1</v>
      </c>
      <c r="P28" s="3"/>
      <c r="Q28" s="3" t="s">
        <v>17</v>
      </c>
      <c r="R28" s="7" t="s">
        <v>93</v>
      </c>
      <c r="S28" s="3" t="s">
        <v>84</v>
      </c>
    </row>
    <row r="29" customFormat="false" ht="15.75" hidden="false" customHeight="false" outlineLevel="0" collapsed="false">
      <c r="A29" s="3" t="s">
        <v>94</v>
      </c>
      <c r="B29" s="3" t="n">
        <v>10</v>
      </c>
      <c r="C29" s="3" t="n">
        <v>90</v>
      </c>
      <c r="D29" s="3" t="n">
        <v>2</v>
      </c>
      <c r="E29" s="3" t="n">
        <v>8</v>
      </c>
      <c r="F29" s="5" t="n">
        <v>1.91</v>
      </c>
      <c r="G29" s="3" t="n">
        <v>1991</v>
      </c>
      <c r="H29" s="6" t="b">
        <f aca="false">AND(D29&lt;=I$1, E29&gt;=I$1)</f>
        <v>1</v>
      </c>
      <c r="J29" s="6" t="b">
        <f aca="false">C29&lt;=K$1</f>
        <v>0</v>
      </c>
      <c r="L29" s="6" t="b">
        <f aca="false">B29&gt;=M$1</f>
        <v>1</v>
      </c>
      <c r="N29" s="6" t="b">
        <f aca="false">AND(H29, J29, L29)</f>
        <v>0</v>
      </c>
      <c r="P29" s="3" t="s">
        <v>30</v>
      </c>
      <c r="Q29" s="3" t="s">
        <v>17</v>
      </c>
      <c r="R29" s="7" t="s">
        <v>95</v>
      </c>
      <c r="S29" s="3" t="s">
        <v>96</v>
      </c>
    </row>
    <row r="30" customFormat="false" ht="15.75" hidden="false" customHeight="false" outlineLevel="0" collapsed="false">
      <c r="A30" s="3" t="s">
        <v>97</v>
      </c>
      <c r="B30" s="3" t="n">
        <v>10</v>
      </c>
      <c r="C30" s="3" t="n">
        <v>30</v>
      </c>
      <c r="D30" s="3" t="n">
        <v>2</v>
      </c>
      <c r="E30" s="3" t="n">
        <v>6</v>
      </c>
      <c r="F30" s="5" t="n">
        <v>1.9</v>
      </c>
      <c r="H30" s="6" t="b">
        <f aca="false">AND(D30&lt;=I$1, E30&gt;=I$1)</f>
        <v>1</v>
      </c>
      <c r="J30" s="6" t="b">
        <f aca="false">C30&lt;=K$1</f>
        <v>1</v>
      </c>
      <c r="L30" s="6" t="b">
        <f aca="false">B30&gt;=M$1</f>
        <v>1</v>
      </c>
      <c r="N30" s="6" t="b">
        <f aca="false">AND(H30, J30, L30)</f>
        <v>1</v>
      </c>
      <c r="P30" s="3" t="s">
        <v>98</v>
      </c>
      <c r="Q30" s="3" t="s">
        <v>47</v>
      </c>
      <c r="R30" s="7" t="s">
        <v>99</v>
      </c>
      <c r="S30" s="3" t="s">
        <v>19</v>
      </c>
    </row>
    <row r="31" customFormat="false" ht="15.75" hidden="false" customHeight="false" outlineLevel="0" collapsed="false">
      <c r="A31" s="3" t="s">
        <v>100</v>
      </c>
      <c r="B31" s="3" t="n">
        <v>7</v>
      </c>
      <c r="C31" s="3" t="n">
        <v>35</v>
      </c>
      <c r="D31" s="3" t="n">
        <v>2</v>
      </c>
      <c r="E31" s="3" t="n">
        <v>5</v>
      </c>
      <c r="F31" s="5" t="n">
        <v>1.9</v>
      </c>
      <c r="G31" s="3" t="n">
        <v>2000</v>
      </c>
      <c r="H31" s="6" t="b">
        <f aca="false">AND(D31&lt;=I$1, E31&gt;=I$1)</f>
        <v>1</v>
      </c>
      <c r="J31" s="6" t="b">
        <f aca="false">C31&lt;=K$1</f>
        <v>1</v>
      </c>
      <c r="L31" s="6" t="b">
        <f aca="false">B31&gt;=M$1</f>
        <v>1</v>
      </c>
      <c r="N31" s="6" t="b">
        <f aca="false">AND(H31, J31, L31)</f>
        <v>1</v>
      </c>
      <c r="O31" s="3" t="s">
        <v>11</v>
      </c>
      <c r="P31" s="3"/>
      <c r="Q31" s="3" t="s">
        <v>17</v>
      </c>
      <c r="R31" s="7" t="s">
        <v>101</v>
      </c>
      <c r="S31" s="3" t="s">
        <v>102</v>
      </c>
    </row>
    <row r="32" customFormat="false" ht="15.75" hidden="false" customHeight="false" outlineLevel="0" collapsed="false">
      <c r="A32" s="3" t="s">
        <v>103</v>
      </c>
      <c r="B32" s="3" t="n">
        <v>10</v>
      </c>
      <c r="C32" s="3" t="n">
        <v>40</v>
      </c>
      <c r="D32" s="3" t="n">
        <v>1</v>
      </c>
      <c r="E32" s="3" t="n">
        <v>100</v>
      </c>
      <c r="F32" s="5" t="n">
        <v>1.89</v>
      </c>
      <c r="G32" s="3" t="n">
        <v>2019</v>
      </c>
      <c r="H32" s="6" t="b">
        <f aca="false">AND(D32&lt;=I$1, E32&gt;=I$1)</f>
        <v>1</v>
      </c>
      <c r="J32" s="6" t="b">
        <f aca="false">C32&lt;=K$1</f>
        <v>1</v>
      </c>
      <c r="L32" s="6" t="b">
        <f aca="false">B32&gt;=M$1</f>
        <v>1</v>
      </c>
      <c r="N32" s="6" t="b">
        <f aca="false">AND(H32, J32, L32)</f>
        <v>1</v>
      </c>
      <c r="O32" s="3" t="s">
        <v>104</v>
      </c>
      <c r="P32" s="3" t="s">
        <v>30</v>
      </c>
      <c r="Q32" s="3" t="s">
        <v>17</v>
      </c>
      <c r="R32" s="7" t="s">
        <v>105</v>
      </c>
      <c r="S32" s="3" t="s">
        <v>106</v>
      </c>
    </row>
    <row r="33" customFormat="false" ht="15.75" hidden="false" customHeight="false" outlineLevel="0" collapsed="false">
      <c r="A33" s="3" t="s">
        <v>107</v>
      </c>
      <c r="B33" s="3" t="n">
        <v>12</v>
      </c>
      <c r="C33" s="3" t="n">
        <v>45</v>
      </c>
      <c r="D33" s="3" t="n">
        <v>2</v>
      </c>
      <c r="E33" s="3" t="n">
        <v>5</v>
      </c>
      <c r="F33" s="5" t="n">
        <v>1.87</v>
      </c>
      <c r="G33" s="3" t="n">
        <v>1990</v>
      </c>
      <c r="H33" s="6" t="b">
        <f aca="false">AND(D33&lt;=I$1, E33&gt;=I$1)</f>
        <v>1</v>
      </c>
      <c r="J33" s="6" t="b">
        <f aca="false">C33&lt;=K$1</f>
        <v>1</v>
      </c>
      <c r="L33" s="6" t="b">
        <f aca="false">B33&gt;=M$1</f>
        <v>1</v>
      </c>
      <c r="N33" s="6" t="b">
        <f aca="false">AND(H33, J33, L33)</f>
        <v>1</v>
      </c>
      <c r="O33" s="3" t="s">
        <v>11</v>
      </c>
      <c r="P33" s="3"/>
      <c r="Q33" s="3" t="s">
        <v>17</v>
      </c>
      <c r="R33" s="7" t="s">
        <v>108</v>
      </c>
      <c r="S33" s="3" t="s">
        <v>45</v>
      </c>
    </row>
    <row r="34" customFormat="false" ht="15.75" hidden="false" customHeight="false" outlineLevel="0" collapsed="false">
      <c r="A34" s="3" t="s">
        <v>109</v>
      </c>
      <c r="B34" s="3" t="n">
        <v>8</v>
      </c>
      <c r="C34" s="3" t="n">
        <v>45</v>
      </c>
      <c r="D34" s="3" t="n">
        <v>1</v>
      </c>
      <c r="E34" s="3" t="n">
        <v>4</v>
      </c>
      <c r="F34" s="5" t="n">
        <v>1.87</v>
      </c>
      <c r="G34" s="3" t="n">
        <v>2019</v>
      </c>
      <c r="H34" s="6" t="b">
        <f aca="false">AND(D34&lt;=I$1, E34&gt;=I$1)</f>
        <v>1</v>
      </c>
      <c r="J34" s="6" t="b">
        <f aca="false">C34&lt;=K$1</f>
        <v>1</v>
      </c>
      <c r="L34" s="6" t="b">
        <f aca="false">B34&gt;=M$1</f>
        <v>1</v>
      </c>
      <c r="N34" s="6" t="b">
        <f aca="false">AND(H34, J34, L34)</f>
        <v>1</v>
      </c>
      <c r="O34" s="3" t="s">
        <v>25</v>
      </c>
      <c r="P34" s="3" t="s">
        <v>37</v>
      </c>
      <c r="Q34" s="3" t="s">
        <v>17</v>
      </c>
      <c r="R34" s="7" t="s">
        <v>110</v>
      </c>
      <c r="S34" s="3" t="s">
        <v>23</v>
      </c>
    </row>
    <row r="35" customFormat="false" ht="15.75" hidden="false" customHeight="false" outlineLevel="0" collapsed="false">
      <c r="A35" s="3" t="s">
        <v>111</v>
      </c>
      <c r="B35" s="3" t="n">
        <v>7</v>
      </c>
      <c r="C35" s="3" t="n">
        <v>20</v>
      </c>
      <c r="D35" s="3" t="n">
        <v>2</v>
      </c>
      <c r="E35" s="3" t="n">
        <v>2</v>
      </c>
      <c r="F35" s="5" t="n">
        <v>1.84</v>
      </c>
      <c r="G35" s="3" t="n">
        <v>2000</v>
      </c>
      <c r="H35" s="6" t="b">
        <f aca="false">AND(D35&lt;=I$1, E35&gt;=I$1)</f>
        <v>0</v>
      </c>
      <c r="J35" s="6" t="b">
        <f aca="false">C35&lt;=K$1</f>
        <v>1</v>
      </c>
      <c r="L35" s="6" t="b">
        <f aca="false">B35&gt;=M$1</f>
        <v>1</v>
      </c>
      <c r="N35" s="6" t="b">
        <f aca="false">AND(H35, J35, L35)</f>
        <v>0</v>
      </c>
      <c r="P35" s="3"/>
      <c r="Q35" s="3" t="s">
        <v>17</v>
      </c>
      <c r="R35" s="7" t="s">
        <v>112</v>
      </c>
      <c r="S35" s="3" t="s">
        <v>19</v>
      </c>
    </row>
    <row r="36" customFormat="false" ht="15.75" hidden="false" customHeight="false" outlineLevel="0" collapsed="false">
      <c r="A36" s="3" t="s">
        <v>113</v>
      </c>
      <c r="B36" s="3" t="n">
        <v>10</v>
      </c>
      <c r="C36" s="3" t="n">
        <v>40</v>
      </c>
      <c r="D36" s="3" t="n">
        <v>1</v>
      </c>
      <c r="E36" s="3" t="n">
        <v>4</v>
      </c>
      <c r="F36" s="5" t="n">
        <v>1.83</v>
      </c>
      <c r="G36" s="3" t="n">
        <v>2021</v>
      </c>
      <c r="H36" s="6" t="b">
        <f aca="false">AND(D36&lt;=I$1, E36&gt;=I$1)</f>
        <v>1</v>
      </c>
      <c r="J36" s="6" t="b">
        <f aca="false">C36&lt;=K$1</f>
        <v>1</v>
      </c>
      <c r="L36" s="6" t="b">
        <f aca="false">B36&gt;=M$1</f>
        <v>1</v>
      </c>
      <c r="N36" s="6" t="b">
        <f aca="false">AND(H36, J36, L36)</f>
        <v>1</v>
      </c>
      <c r="O36" s="3" t="s">
        <v>11</v>
      </c>
      <c r="P36" s="3"/>
      <c r="Q36" s="3" t="s">
        <v>17</v>
      </c>
      <c r="R36" s="7" t="s">
        <v>114</v>
      </c>
      <c r="S36" s="3" t="s">
        <v>115</v>
      </c>
    </row>
    <row r="37" customFormat="false" ht="15.75" hidden="false" customHeight="false" outlineLevel="0" collapsed="false">
      <c r="A37" s="3" t="s">
        <v>116</v>
      </c>
      <c r="B37" s="3" t="n">
        <v>8</v>
      </c>
      <c r="C37" s="3" t="n">
        <v>45</v>
      </c>
      <c r="D37" s="3" t="n">
        <v>2</v>
      </c>
      <c r="E37" s="3" t="n">
        <v>5</v>
      </c>
      <c r="F37" s="5" t="n">
        <v>1.83</v>
      </c>
      <c r="G37" s="3" t="n">
        <v>2004</v>
      </c>
      <c r="H37" s="6" t="b">
        <f aca="false">AND(D37&lt;=I$1, E37&gt;=I$1)</f>
        <v>1</v>
      </c>
      <c r="J37" s="6" t="b">
        <f aca="false">C37&lt;=K$1</f>
        <v>1</v>
      </c>
      <c r="L37" s="6" t="b">
        <f aca="false">B37&gt;=M$1</f>
        <v>1</v>
      </c>
      <c r="N37" s="6" t="b">
        <f aca="false">AND(H37, J37, L37)</f>
        <v>1</v>
      </c>
      <c r="O37" s="3" t="s">
        <v>11</v>
      </c>
      <c r="P37" s="3" t="s">
        <v>43</v>
      </c>
      <c r="Q37" s="3" t="s">
        <v>17</v>
      </c>
      <c r="R37" s="7" t="s">
        <v>117</v>
      </c>
      <c r="S37" s="3" t="s">
        <v>84</v>
      </c>
    </row>
    <row r="38" customFormat="false" ht="15.75" hidden="false" customHeight="false" outlineLevel="0" collapsed="false">
      <c r="A38" s="3" t="s">
        <v>118</v>
      </c>
      <c r="B38" s="3" t="n">
        <v>10</v>
      </c>
      <c r="C38" s="3" t="n">
        <v>40</v>
      </c>
      <c r="D38" s="3" t="n">
        <v>2</v>
      </c>
      <c r="E38" s="3" t="n">
        <v>6</v>
      </c>
      <c r="F38" s="5" t="n">
        <v>1.82</v>
      </c>
      <c r="G38" s="3" t="n">
        <v>2014</v>
      </c>
      <c r="H38" s="6" t="b">
        <f aca="false">AND(D38&lt;=I$1, E38&gt;=I$1)</f>
        <v>1</v>
      </c>
      <c r="J38" s="6" t="b">
        <f aca="false">C38&lt;=K$1</f>
        <v>1</v>
      </c>
      <c r="L38" s="6" t="b">
        <f aca="false">B38&gt;=M$1</f>
        <v>1</v>
      </c>
      <c r="N38" s="6" t="b">
        <f aca="false">AND(H38, J38, L38)</f>
        <v>1</v>
      </c>
      <c r="O38" s="3" t="s">
        <v>11</v>
      </c>
      <c r="P38" s="3"/>
      <c r="Q38" s="3" t="s">
        <v>17</v>
      </c>
      <c r="R38" s="7" t="s">
        <v>119</v>
      </c>
      <c r="S38" s="3" t="s">
        <v>120</v>
      </c>
    </row>
    <row r="39" customFormat="false" ht="15.75" hidden="false" customHeight="false" outlineLevel="0" collapsed="false">
      <c r="A39" s="3" t="s">
        <v>121</v>
      </c>
      <c r="B39" s="3" t="n">
        <v>10</v>
      </c>
      <c r="C39" s="3" t="n">
        <v>30</v>
      </c>
      <c r="D39" s="3" t="n">
        <v>2</v>
      </c>
      <c r="E39" s="3" t="n">
        <v>4</v>
      </c>
      <c r="F39" s="5" t="n">
        <v>1.78</v>
      </c>
      <c r="G39" s="3" t="n">
        <v>2014</v>
      </c>
      <c r="H39" s="6" t="b">
        <f aca="false">AND(D39&lt;=I$1, E39&gt;=I$1)</f>
        <v>1</v>
      </c>
      <c r="J39" s="6" t="b">
        <f aca="false">C39&lt;=K$1</f>
        <v>1</v>
      </c>
      <c r="L39" s="6" t="b">
        <f aca="false">B39&gt;=M$1</f>
        <v>1</v>
      </c>
      <c r="N39" s="6" t="b">
        <f aca="false">AND(H39, J39, L39)</f>
        <v>1</v>
      </c>
      <c r="O39" s="3" t="s">
        <v>25</v>
      </c>
      <c r="P39" s="3"/>
      <c r="Q39" s="3" t="s">
        <v>17</v>
      </c>
      <c r="R39" s="7" t="s">
        <v>122</v>
      </c>
    </row>
    <row r="40" customFormat="false" ht="15.75" hidden="false" customHeight="false" outlineLevel="0" collapsed="false">
      <c r="A40" s="3" t="s">
        <v>123</v>
      </c>
      <c r="B40" s="3" t="n">
        <v>8</v>
      </c>
      <c r="C40" s="3" t="n">
        <v>40</v>
      </c>
      <c r="D40" s="3" t="n">
        <v>2</v>
      </c>
      <c r="E40" s="3" t="n">
        <v>4</v>
      </c>
      <c r="F40" s="5" t="n">
        <v>1.76</v>
      </c>
      <c r="G40" s="3" t="n">
        <v>2017</v>
      </c>
      <c r="H40" s="6" t="b">
        <f aca="false">AND(D40&lt;=I$1, E40&gt;=I$1)</f>
        <v>1</v>
      </c>
      <c r="J40" s="6" t="b">
        <f aca="false">C40&lt;=K$1</f>
        <v>1</v>
      </c>
      <c r="L40" s="6" t="b">
        <f aca="false">B40&gt;=M$1</f>
        <v>1</v>
      </c>
      <c r="N40" s="6" t="b">
        <f aca="false">AND(H40, J40, L40)</f>
        <v>1</v>
      </c>
      <c r="O40" s="3" t="s">
        <v>11</v>
      </c>
      <c r="P40" s="3"/>
      <c r="Q40" s="3" t="s">
        <v>17</v>
      </c>
      <c r="R40" s="7" t="s">
        <v>124</v>
      </c>
      <c r="S40" s="3" t="s">
        <v>125</v>
      </c>
    </row>
    <row r="41" customFormat="false" ht="15.75" hidden="false" customHeight="false" outlineLevel="0" collapsed="false">
      <c r="A41" s="3" t="s">
        <v>126</v>
      </c>
      <c r="B41" s="3" t="n">
        <v>7</v>
      </c>
      <c r="C41" s="3" t="n">
        <v>20</v>
      </c>
      <c r="D41" s="3" t="n">
        <v>2</v>
      </c>
      <c r="E41" s="3" t="n">
        <v>4</v>
      </c>
      <c r="F41" s="5" t="n">
        <v>1.75</v>
      </c>
      <c r="G41" s="3" t="n">
        <v>2000</v>
      </c>
      <c r="H41" s="6" t="b">
        <f aca="false">AND(D41&lt;=I$1, E41&gt;=I$1)</f>
        <v>1</v>
      </c>
      <c r="J41" s="6" t="b">
        <f aca="false">C41&lt;=K$1</f>
        <v>1</v>
      </c>
      <c r="L41" s="6" t="b">
        <f aca="false">B41&gt;=M$1</f>
        <v>1</v>
      </c>
      <c r="N41" s="6" t="b">
        <f aca="false">AND(H41, J41, L41)</f>
        <v>1</v>
      </c>
      <c r="O41" s="3" t="s">
        <v>25</v>
      </c>
      <c r="P41" s="3"/>
      <c r="Q41" s="3" t="s">
        <v>17</v>
      </c>
      <c r="R41" s="7" t="s">
        <v>127</v>
      </c>
      <c r="S41" s="3" t="s">
        <v>128</v>
      </c>
    </row>
    <row r="42" customFormat="false" ht="15.75" hidden="false" customHeight="false" outlineLevel="0" collapsed="false">
      <c r="A42" s="3" t="s">
        <v>129</v>
      </c>
      <c r="B42" s="3" t="n">
        <v>8</v>
      </c>
      <c r="C42" s="3" t="n">
        <v>60</v>
      </c>
      <c r="D42" s="3" t="n">
        <v>2</v>
      </c>
      <c r="E42" s="3" t="n">
        <v>4</v>
      </c>
      <c r="F42" s="5" t="n">
        <v>1.72</v>
      </c>
      <c r="G42" s="3" t="n">
        <v>1977</v>
      </c>
      <c r="H42" s="6" t="b">
        <f aca="false">AND(D42&lt;=I$1, E42&gt;=I$1)</f>
        <v>1</v>
      </c>
      <c r="J42" s="6" t="b">
        <f aca="false">C42&lt;=K$1</f>
        <v>0</v>
      </c>
      <c r="L42" s="6" t="b">
        <f aca="false">B42&gt;=M$1</f>
        <v>1</v>
      </c>
      <c r="N42" s="6" t="b">
        <f aca="false">AND(H42, J42, L42)</f>
        <v>0</v>
      </c>
      <c r="P42" s="3"/>
      <c r="Q42" s="3" t="s">
        <v>47</v>
      </c>
      <c r="R42" s="7" t="s">
        <v>130</v>
      </c>
    </row>
    <row r="43" customFormat="false" ht="15.75" hidden="false" customHeight="false" outlineLevel="0" collapsed="false">
      <c r="A43" s="3" t="s">
        <v>131</v>
      </c>
      <c r="B43" s="3" t="n">
        <v>8</v>
      </c>
      <c r="C43" s="3" t="n">
        <v>25</v>
      </c>
      <c r="D43" s="3" t="n">
        <v>2</v>
      </c>
      <c r="E43" s="3" t="n">
        <v>4</v>
      </c>
      <c r="F43" s="5" t="n">
        <v>1.71</v>
      </c>
      <c r="G43" s="3" t="n">
        <v>2021</v>
      </c>
      <c r="H43" s="6" t="b">
        <f aca="false">AND(D43&lt;=I$1, E43&gt;=I$1)</f>
        <v>1</v>
      </c>
      <c r="J43" s="6" t="b">
        <f aca="false">C43&lt;=K$1</f>
        <v>1</v>
      </c>
      <c r="L43" s="6" t="b">
        <f aca="false">B43&gt;=M$1</f>
        <v>1</v>
      </c>
      <c r="N43" s="6" t="b">
        <f aca="false">AND(H43, J43, L43)</f>
        <v>1</v>
      </c>
      <c r="P43" s="3" t="s">
        <v>98</v>
      </c>
      <c r="Q43" s="3" t="s">
        <v>17</v>
      </c>
      <c r="R43" s="7" t="s">
        <v>132</v>
      </c>
    </row>
    <row r="44" customFormat="false" ht="15.75" hidden="false" customHeight="false" outlineLevel="0" collapsed="false">
      <c r="A44" s="3" t="s">
        <v>133</v>
      </c>
      <c r="B44" s="3" t="n">
        <v>14</v>
      </c>
      <c r="C44" s="3" t="n">
        <v>30</v>
      </c>
      <c r="D44" s="3" t="n">
        <v>2</v>
      </c>
      <c r="E44" s="3" t="n">
        <v>4</v>
      </c>
      <c r="F44" s="5" t="n">
        <v>1.69</v>
      </c>
      <c r="G44" s="3" t="n">
        <v>2013</v>
      </c>
      <c r="H44" s="6" t="b">
        <f aca="false">AND(D44&lt;=I$1, E44&gt;=I$1)</f>
        <v>1</v>
      </c>
      <c r="J44" s="6" t="b">
        <f aca="false">C44&lt;=K$1</f>
        <v>1</v>
      </c>
      <c r="L44" s="6" t="b">
        <f aca="false">B44&gt;=M$1</f>
        <v>1</v>
      </c>
      <c r="N44" s="6" t="b">
        <f aca="false">AND(H44, J44, L44)</f>
        <v>1</v>
      </c>
      <c r="P44" s="3" t="s">
        <v>98</v>
      </c>
      <c r="Q44" s="3" t="s">
        <v>86</v>
      </c>
      <c r="R44" s="7" t="s">
        <v>134</v>
      </c>
      <c r="S44" s="3" t="s">
        <v>135</v>
      </c>
    </row>
    <row r="45" customFormat="false" ht="15.75" hidden="false" customHeight="false" outlineLevel="0" collapsed="false">
      <c r="A45" s="3" t="s">
        <v>136</v>
      </c>
      <c r="B45" s="3" t="n">
        <v>8</v>
      </c>
      <c r="C45" s="3" t="n">
        <v>25</v>
      </c>
      <c r="D45" s="3" t="n">
        <v>2</v>
      </c>
      <c r="E45" s="3" t="n">
        <v>5</v>
      </c>
      <c r="F45" s="5" t="n">
        <v>1.69</v>
      </c>
      <c r="G45" s="3" t="n">
        <v>2010</v>
      </c>
      <c r="H45" s="6" t="b">
        <f aca="false">AND(D45&lt;=I$1, E45&gt;=I$1)</f>
        <v>1</v>
      </c>
      <c r="J45" s="6" t="b">
        <f aca="false">C45&lt;=K$1</f>
        <v>1</v>
      </c>
      <c r="L45" s="6" t="b">
        <f aca="false">B45&gt;=M$1</f>
        <v>1</v>
      </c>
      <c r="N45" s="6" t="b">
        <f aca="false">AND(H45, J45, L45)</f>
        <v>1</v>
      </c>
      <c r="O45" s="3" t="s">
        <v>11</v>
      </c>
      <c r="P45" s="3"/>
      <c r="Q45" s="3" t="s">
        <v>47</v>
      </c>
      <c r="R45" s="7" t="s">
        <v>137</v>
      </c>
      <c r="S45" s="3" t="s">
        <v>138</v>
      </c>
    </row>
    <row r="46" customFormat="false" ht="15.75" hidden="false" customHeight="false" outlineLevel="0" collapsed="false">
      <c r="A46" s="3" t="s">
        <v>139</v>
      </c>
      <c r="B46" s="3" t="n">
        <v>8</v>
      </c>
      <c r="C46" s="3" t="n">
        <v>30</v>
      </c>
      <c r="D46" s="3" t="n">
        <v>2</v>
      </c>
      <c r="E46" s="3" t="n">
        <v>8</v>
      </c>
      <c r="F46" s="5" t="n">
        <v>1.69</v>
      </c>
      <c r="G46" s="3" t="n">
        <v>2013</v>
      </c>
      <c r="H46" s="6" t="b">
        <f aca="false">AND(D46&lt;=I$1, E46&gt;=I$1)</f>
        <v>1</v>
      </c>
      <c r="J46" s="6" t="b">
        <f aca="false">C46&lt;=K$1</f>
        <v>1</v>
      </c>
      <c r="L46" s="6" t="b">
        <f aca="false">B46&gt;=M$1</f>
        <v>1</v>
      </c>
      <c r="N46" s="6" t="b">
        <f aca="false">AND(H46, J46, L46)</f>
        <v>1</v>
      </c>
      <c r="P46" s="3" t="s">
        <v>140</v>
      </c>
      <c r="Q46" s="3" t="s">
        <v>47</v>
      </c>
      <c r="R46" s="7" t="s">
        <v>141</v>
      </c>
    </row>
    <row r="47" customFormat="false" ht="15.75" hidden="false" customHeight="false" outlineLevel="0" collapsed="false">
      <c r="A47" s="3" t="s">
        <v>142</v>
      </c>
      <c r="B47" s="3" t="n">
        <v>8</v>
      </c>
      <c r="C47" s="3" t="n">
        <v>45</v>
      </c>
      <c r="D47" s="3" t="n">
        <v>1</v>
      </c>
      <c r="E47" s="3" t="n">
        <v>6</v>
      </c>
      <c r="F47" s="5" t="n">
        <v>1.68</v>
      </c>
      <c r="G47" s="3" t="n">
        <v>2022</v>
      </c>
      <c r="H47" s="6" t="b">
        <f aca="false">AND(D47&lt;=I$1, E47&gt;=I$1)</f>
        <v>1</v>
      </c>
      <c r="J47" s="6" t="b">
        <f aca="false">C47&lt;=K$1</f>
        <v>1</v>
      </c>
      <c r="L47" s="6" t="b">
        <f aca="false">B47&gt;=M$1</f>
        <v>1</v>
      </c>
      <c r="N47" s="6" t="b">
        <f aca="false">AND(H47, J47, L47)</f>
        <v>1</v>
      </c>
      <c r="O47" s="3" t="s">
        <v>11</v>
      </c>
      <c r="P47" s="3" t="s">
        <v>37</v>
      </c>
      <c r="Q47" s="3" t="s">
        <v>17</v>
      </c>
      <c r="R47" s="7" t="s">
        <v>143</v>
      </c>
      <c r="S47" s="3" t="s">
        <v>144</v>
      </c>
    </row>
    <row r="48" customFormat="false" ht="15.75" hidden="false" customHeight="false" outlineLevel="0" collapsed="false">
      <c r="A48" s="3" t="s">
        <v>145</v>
      </c>
      <c r="B48" s="3" t="n">
        <v>12</v>
      </c>
      <c r="C48" s="3" t="n">
        <v>45</v>
      </c>
      <c r="D48" s="3" t="n">
        <v>2</v>
      </c>
      <c r="E48" s="3" t="n">
        <v>7</v>
      </c>
      <c r="F48" s="5" t="n">
        <v>1.67</v>
      </c>
      <c r="G48" s="3" t="n">
        <v>1997</v>
      </c>
      <c r="H48" s="6" t="b">
        <f aca="false">AND(D48&lt;=I$1, E48&gt;=I$1)</f>
        <v>1</v>
      </c>
      <c r="J48" s="6" t="b">
        <f aca="false">C48&lt;=K$1</f>
        <v>1</v>
      </c>
      <c r="L48" s="6" t="b">
        <f aca="false">B48&gt;=M$1</f>
        <v>1</v>
      </c>
      <c r="N48" s="6" t="b">
        <f aca="false">AND(H48, J48, L48)</f>
        <v>1</v>
      </c>
      <c r="O48" s="3" t="s">
        <v>25</v>
      </c>
      <c r="P48" s="3"/>
      <c r="Q48" s="3" t="s">
        <v>47</v>
      </c>
      <c r="R48" s="7" t="s">
        <v>146</v>
      </c>
      <c r="S48" s="3" t="s">
        <v>23</v>
      </c>
      <c r="T48" s="3" t="s">
        <v>147</v>
      </c>
    </row>
    <row r="49" customFormat="false" ht="15.75" hidden="false" customHeight="false" outlineLevel="0" collapsed="false">
      <c r="A49" s="3" t="s">
        <v>148</v>
      </c>
      <c r="B49" s="3" t="n">
        <v>10</v>
      </c>
      <c r="C49" s="3" t="n">
        <v>30</v>
      </c>
      <c r="D49" s="3" t="n">
        <v>2</v>
      </c>
      <c r="E49" s="3" t="n">
        <v>4</v>
      </c>
      <c r="F49" s="5" t="n">
        <v>1.65</v>
      </c>
      <c r="G49" s="3" t="n">
        <v>1989</v>
      </c>
      <c r="H49" s="6" t="b">
        <f aca="false">AND(D49&lt;=I$1, E49&gt;=I$1)</f>
        <v>1</v>
      </c>
      <c r="J49" s="6" t="b">
        <f aca="false">C49&lt;=K$1</f>
        <v>1</v>
      </c>
      <c r="L49" s="6" t="b">
        <f aca="false">B49&gt;=M$1</f>
        <v>1</v>
      </c>
      <c r="N49" s="6" t="b">
        <f aca="false">AND(H49, J49, L49)</f>
        <v>1</v>
      </c>
      <c r="O49" s="3" t="s">
        <v>11</v>
      </c>
      <c r="P49" s="3" t="s">
        <v>30</v>
      </c>
      <c r="Q49" s="3" t="s">
        <v>17</v>
      </c>
      <c r="R49" s="7" t="s">
        <v>149</v>
      </c>
      <c r="S49" s="3" t="s">
        <v>150</v>
      </c>
    </row>
    <row r="50" customFormat="false" ht="15.75" hidden="false" customHeight="false" outlineLevel="0" collapsed="false">
      <c r="A50" s="3" t="s">
        <v>151</v>
      </c>
      <c r="B50" s="3" t="n">
        <v>8</v>
      </c>
      <c r="C50" s="3" t="n">
        <v>90</v>
      </c>
      <c r="D50" s="3" t="n">
        <v>2</v>
      </c>
      <c r="E50" s="3" t="n">
        <v>6</v>
      </c>
      <c r="F50" s="5" t="n">
        <v>1.62</v>
      </c>
      <c r="H50" s="6" t="b">
        <f aca="false">AND(D50&lt;=I$1, E50&gt;=I$1)</f>
        <v>1</v>
      </c>
      <c r="J50" s="6" t="b">
        <f aca="false">C50&lt;=K$1</f>
        <v>0</v>
      </c>
      <c r="L50" s="6" t="b">
        <f aca="false">B50&gt;=M$1</f>
        <v>1</v>
      </c>
      <c r="N50" s="6" t="b">
        <f aca="false">AND(H50, J50, L50)</f>
        <v>0</v>
      </c>
      <c r="P50" s="3" t="s">
        <v>30</v>
      </c>
      <c r="Q50" s="3" t="s">
        <v>17</v>
      </c>
    </row>
    <row r="51" customFormat="false" ht="15.75" hidden="false" customHeight="false" outlineLevel="0" collapsed="false">
      <c r="A51" s="3" t="s">
        <v>152</v>
      </c>
      <c r="B51" s="3" t="n">
        <v>6</v>
      </c>
      <c r="C51" s="3" t="n">
        <v>45</v>
      </c>
      <c r="D51" s="3" t="n">
        <v>2</v>
      </c>
      <c r="E51" s="3" t="n">
        <v>4</v>
      </c>
      <c r="F51" s="5" t="n">
        <v>1.6</v>
      </c>
      <c r="G51" s="3" t="n">
        <v>2006</v>
      </c>
      <c r="H51" s="6" t="b">
        <f aca="false">AND(D51&lt;=I$1, E51&gt;=I$1)</f>
        <v>1</v>
      </c>
      <c r="J51" s="6" t="b">
        <f aca="false">C51&lt;=K$1</f>
        <v>1</v>
      </c>
      <c r="L51" s="6" t="b">
        <f aca="false">B51&gt;=M$1</f>
        <v>1</v>
      </c>
      <c r="N51" s="6" t="b">
        <f aca="false">AND(H51, J51, L51)</f>
        <v>1</v>
      </c>
      <c r="P51" s="3" t="s">
        <v>43</v>
      </c>
      <c r="Q51" s="3" t="s">
        <v>86</v>
      </c>
      <c r="R51" s="7" t="s">
        <v>153</v>
      </c>
      <c r="S51" s="3" t="s">
        <v>154</v>
      </c>
    </row>
    <row r="52" customFormat="false" ht="15.75" hidden="false" customHeight="false" outlineLevel="0" collapsed="false">
      <c r="A52" s="3" t="s">
        <v>155</v>
      </c>
      <c r="B52" s="3" t="n">
        <v>14</v>
      </c>
      <c r="C52" s="3" t="n">
        <v>45</v>
      </c>
      <c r="D52" s="3" t="n">
        <v>3</v>
      </c>
      <c r="E52" s="3" t="n">
        <v>10</v>
      </c>
      <c r="F52" s="5" t="n">
        <v>1.57</v>
      </c>
      <c r="G52" s="3" t="n">
        <v>1992</v>
      </c>
      <c r="H52" s="6" t="b">
        <f aca="false">AND(D52&lt;=I$1, E52&gt;=I$1)</f>
        <v>1</v>
      </c>
      <c r="J52" s="6" t="b">
        <f aca="false">C52&lt;=K$1</f>
        <v>1</v>
      </c>
      <c r="L52" s="6" t="b">
        <f aca="false">B52&gt;=M$1</f>
        <v>1</v>
      </c>
      <c r="N52" s="6" t="b">
        <f aca="false">AND(H52, J52, L52)</f>
        <v>1</v>
      </c>
      <c r="P52" s="3" t="s">
        <v>30</v>
      </c>
      <c r="Q52" s="3" t="s">
        <v>17</v>
      </c>
      <c r="R52" s="7" t="s">
        <v>156</v>
      </c>
      <c r="S52" s="3" t="s">
        <v>157</v>
      </c>
    </row>
    <row r="53" customFormat="false" ht="15.75" hidden="false" customHeight="false" outlineLevel="0" collapsed="false">
      <c r="A53" s="3" t="s">
        <v>158</v>
      </c>
      <c r="B53" s="3" t="n">
        <v>6</v>
      </c>
      <c r="C53" s="3" t="n">
        <v>30</v>
      </c>
      <c r="D53" s="3" t="n">
        <v>2</v>
      </c>
      <c r="E53" s="3" t="n">
        <v>4</v>
      </c>
      <c r="F53" s="5" t="n">
        <v>1.5</v>
      </c>
      <c r="G53" s="3" t="n">
        <v>2011</v>
      </c>
      <c r="H53" s="6" t="b">
        <f aca="false">AND(D53&lt;=I$1, E53&gt;=I$1)</f>
        <v>1</v>
      </c>
      <c r="J53" s="6" t="b">
        <f aca="false">C53&lt;=K$1</f>
        <v>1</v>
      </c>
      <c r="L53" s="6" t="b">
        <f aca="false">B53&gt;=M$1</f>
        <v>1</v>
      </c>
      <c r="N53" s="6" t="b">
        <f aca="false">AND(H53, J53, L53)</f>
        <v>1</v>
      </c>
      <c r="P53" s="3" t="s">
        <v>37</v>
      </c>
      <c r="Q53" s="3" t="s">
        <v>17</v>
      </c>
      <c r="R53" s="7" t="s">
        <v>159</v>
      </c>
      <c r="S53" s="3" t="s">
        <v>45</v>
      </c>
    </row>
    <row r="54" customFormat="false" ht="15.75" hidden="false" customHeight="false" outlineLevel="0" collapsed="false">
      <c r="A54" s="3" t="s">
        <v>160</v>
      </c>
      <c r="B54" s="3" t="n">
        <v>9</v>
      </c>
      <c r="C54" s="3" t="n">
        <v>45</v>
      </c>
      <c r="D54" s="3" t="n">
        <v>2</v>
      </c>
      <c r="E54" s="3" t="n">
        <v>6</v>
      </c>
      <c r="F54" s="5" t="n">
        <v>1.45</v>
      </c>
      <c r="G54" s="3" t="n">
        <v>1997</v>
      </c>
      <c r="H54" s="6" t="b">
        <f aca="false">AND(D54&lt;=I$1, E54&gt;=I$1)</f>
        <v>1</v>
      </c>
      <c r="J54" s="6" t="b">
        <f aca="false">C54&lt;=K$1</f>
        <v>1</v>
      </c>
      <c r="L54" s="6" t="b">
        <f aca="false">B54&gt;=M$1</f>
        <v>1</v>
      </c>
      <c r="N54" s="6" t="b">
        <f aca="false">AND(H54, J54, L54)</f>
        <v>1</v>
      </c>
      <c r="P54" s="3" t="s">
        <v>43</v>
      </c>
      <c r="Q54" s="3" t="s">
        <v>17</v>
      </c>
      <c r="R54" s="7" t="s">
        <v>161</v>
      </c>
      <c r="S54" s="3" t="s">
        <v>19</v>
      </c>
    </row>
    <row r="55" customFormat="false" ht="15.75" hidden="false" customHeight="false" outlineLevel="0" collapsed="false">
      <c r="A55" s="3" t="s">
        <v>162</v>
      </c>
      <c r="B55" s="3" t="n">
        <v>8</v>
      </c>
      <c r="C55" s="3" t="n">
        <v>15</v>
      </c>
      <c r="D55" s="3" t="n">
        <v>2</v>
      </c>
      <c r="E55" s="3" t="n">
        <v>6</v>
      </c>
      <c r="F55" s="5" t="n">
        <v>1.39</v>
      </c>
      <c r="G55" s="3" t="n">
        <v>1997</v>
      </c>
      <c r="H55" s="6" t="b">
        <f aca="false">AND(D55&lt;=I$1, E55&gt;=I$1)</f>
        <v>1</v>
      </c>
      <c r="J55" s="6" t="b">
        <f aca="false">C55&lt;=K$1</f>
        <v>1</v>
      </c>
      <c r="L55" s="6" t="b">
        <f aca="false">B55&gt;=M$1</f>
        <v>1</v>
      </c>
      <c r="N55" s="6" t="b">
        <f aca="false">AND(H55, J55, L55)</f>
        <v>1</v>
      </c>
      <c r="P55" s="3" t="s">
        <v>43</v>
      </c>
      <c r="Q55" s="3" t="s">
        <v>47</v>
      </c>
      <c r="R55" s="7" t="s">
        <v>163</v>
      </c>
      <c r="S55" s="3" t="s">
        <v>164</v>
      </c>
    </row>
    <row r="56" customFormat="false" ht="15.75" hidden="false" customHeight="false" outlineLevel="0" collapsed="false">
      <c r="A56" s="3" t="s">
        <v>165</v>
      </c>
      <c r="B56" s="3" t="n">
        <v>6</v>
      </c>
      <c r="C56" s="3" t="n">
        <v>30</v>
      </c>
      <c r="D56" s="3" t="n">
        <v>2</v>
      </c>
      <c r="E56" s="3" t="n">
        <v>4</v>
      </c>
      <c r="F56" s="5" t="n">
        <v>1.36</v>
      </c>
      <c r="G56" s="3" t="n">
        <v>2007</v>
      </c>
      <c r="H56" s="6" t="b">
        <f aca="false">AND(D56&lt;=I$1, E56&gt;=I$1)</f>
        <v>1</v>
      </c>
      <c r="J56" s="6" t="b">
        <f aca="false">C56&lt;=K$1</f>
        <v>1</v>
      </c>
      <c r="L56" s="6" t="b">
        <f aca="false">B56&gt;=M$1</f>
        <v>1</v>
      </c>
      <c r="N56" s="6" t="b">
        <f aca="false">AND(H56, J56, L56)</f>
        <v>1</v>
      </c>
      <c r="O56" s="3" t="s">
        <v>25</v>
      </c>
      <c r="P56" s="3"/>
      <c r="Q56" s="3" t="s">
        <v>17</v>
      </c>
      <c r="R56" s="7" t="s">
        <v>166</v>
      </c>
      <c r="S56" s="3" t="s">
        <v>167</v>
      </c>
    </row>
    <row r="57" customFormat="false" ht="15.75" hidden="false" customHeight="false" outlineLevel="0" collapsed="false">
      <c r="A57" s="3" t="s">
        <v>168</v>
      </c>
      <c r="B57" s="3" t="n">
        <v>8</v>
      </c>
      <c r="C57" s="3" t="n">
        <v>20</v>
      </c>
      <c r="D57" s="3" t="n">
        <v>2</v>
      </c>
      <c r="E57" s="3" t="n">
        <v>4</v>
      </c>
      <c r="F57" s="5" t="n">
        <v>1.35</v>
      </c>
      <c r="G57" s="3" t="n">
        <v>1986</v>
      </c>
      <c r="H57" s="6" t="b">
        <f aca="false">AND(D57&lt;=I$1, E57&gt;=I$1)</f>
        <v>1</v>
      </c>
      <c r="J57" s="6" t="b">
        <f aca="false">C57&lt;=K$1</f>
        <v>1</v>
      </c>
      <c r="L57" s="6" t="b">
        <f aca="false">B57&gt;=M$1</f>
        <v>1</v>
      </c>
      <c r="N57" s="6" t="b">
        <f aca="false">AND(H57, J57, L57)</f>
        <v>1</v>
      </c>
      <c r="O57" s="3" t="s">
        <v>25</v>
      </c>
      <c r="P57" s="3" t="s">
        <v>78</v>
      </c>
      <c r="Q57" s="3" t="s">
        <v>17</v>
      </c>
      <c r="R57" s="7" t="s">
        <v>169</v>
      </c>
      <c r="S57" s="3" t="s">
        <v>170</v>
      </c>
    </row>
    <row r="58" customFormat="false" ht="15.75" hidden="false" customHeight="false" outlineLevel="0" collapsed="false">
      <c r="A58" s="3" t="s">
        <v>171</v>
      </c>
      <c r="B58" s="3" t="n">
        <v>10</v>
      </c>
      <c r="C58" s="3" t="n">
        <v>45</v>
      </c>
      <c r="D58" s="3" t="n">
        <v>2</v>
      </c>
      <c r="E58" s="3" t="n">
        <v>4</v>
      </c>
      <c r="F58" s="5" t="n">
        <v>1.32</v>
      </c>
      <c r="G58" s="3" t="n">
        <v>2001</v>
      </c>
      <c r="H58" s="6" t="b">
        <f aca="false">AND(D58&lt;=I$1, E58&gt;=I$1)</f>
        <v>1</v>
      </c>
      <c r="J58" s="6" t="b">
        <f aca="false">C58&lt;=K$1</f>
        <v>1</v>
      </c>
      <c r="L58" s="6" t="b">
        <f aca="false">B58&gt;=M$1</f>
        <v>1</v>
      </c>
      <c r="N58" s="6" t="b">
        <f aca="false">AND(H58, J58, L58)</f>
        <v>1</v>
      </c>
      <c r="P58" s="3"/>
      <c r="Q58" s="3" t="s">
        <v>47</v>
      </c>
      <c r="R58" s="7" t="s">
        <v>172</v>
      </c>
      <c r="S58" s="3" t="s">
        <v>150</v>
      </c>
    </row>
    <row r="59" customFormat="false" ht="16.5" hidden="false" customHeight="true" outlineLevel="0" collapsed="false">
      <c r="A59" s="3" t="s">
        <v>173</v>
      </c>
      <c r="B59" s="3" t="n">
        <v>8</v>
      </c>
      <c r="C59" s="3" t="n">
        <v>30</v>
      </c>
      <c r="D59" s="3" t="n">
        <v>3</v>
      </c>
      <c r="E59" s="3" t="n">
        <v>10</v>
      </c>
      <c r="F59" s="5" t="n">
        <v>1.32</v>
      </c>
      <c r="G59" s="3" t="n">
        <v>2004</v>
      </c>
      <c r="H59" s="6" t="b">
        <f aca="false">AND(D59&lt;=I$1, E59&gt;=I$1)</f>
        <v>1</v>
      </c>
      <c r="J59" s="6" t="b">
        <f aca="false">C59&lt;=K$1</f>
        <v>1</v>
      </c>
      <c r="L59" s="6" t="b">
        <f aca="false">B59&gt;=M$1</f>
        <v>1</v>
      </c>
      <c r="N59" s="6" t="b">
        <f aca="false">AND(H59, J59, L59)</f>
        <v>1</v>
      </c>
      <c r="P59" s="3"/>
      <c r="Q59" s="3" t="s">
        <v>47</v>
      </c>
      <c r="R59" s="7" t="s">
        <v>174</v>
      </c>
    </row>
    <row r="60" customFormat="false" ht="16.5" hidden="false" customHeight="true" outlineLevel="0" collapsed="false">
      <c r="A60" s="3" t="s">
        <v>175</v>
      </c>
      <c r="B60" s="3" t="n">
        <v>5</v>
      </c>
      <c r="C60" s="3" t="n">
        <v>20</v>
      </c>
      <c r="D60" s="3" t="n">
        <v>2</v>
      </c>
      <c r="E60" s="3" t="n">
        <v>4</v>
      </c>
      <c r="F60" s="5" t="n">
        <v>1.3</v>
      </c>
      <c r="G60" s="3" t="n">
        <v>2011</v>
      </c>
      <c r="H60" s="6" t="b">
        <f aca="false">AND(D60&lt;=I$1, E60&gt;=I$1)</f>
        <v>1</v>
      </c>
      <c r="J60" s="6" t="b">
        <f aca="false">C60&lt;=K$1</f>
        <v>1</v>
      </c>
      <c r="L60" s="6" t="b">
        <f aca="false">B60&gt;=M$1</f>
        <v>0</v>
      </c>
      <c r="N60" s="6" t="b">
        <f aca="false">AND(H60, J60, L60)</f>
        <v>0</v>
      </c>
      <c r="O60" s="3" t="s">
        <v>176</v>
      </c>
      <c r="P60" s="3" t="s">
        <v>78</v>
      </c>
      <c r="Q60" s="3" t="s">
        <v>17</v>
      </c>
      <c r="R60" s="7" t="s">
        <v>177</v>
      </c>
    </row>
    <row r="61" customFormat="false" ht="15.75" hidden="false" customHeight="false" outlineLevel="0" collapsed="false">
      <c r="A61" s="3" t="s">
        <v>178</v>
      </c>
      <c r="B61" s="3" t="n">
        <v>8</v>
      </c>
      <c r="C61" s="3" t="n">
        <v>30</v>
      </c>
      <c r="D61" s="3" t="n">
        <v>2</v>
      </c>
      <c r="E61" s="3" t="n">
        <v>12</v>
      </c>
      <c r="F61" s="5" t="n">
        <v>1.25</v>
      </c>
      <c r="G61" s="3" t="n">
        <v>1972</v>
      </c>
      <c r="H61" s="6" t="b">
        <f aca="false">AND(D61&lt;=I$1, E61&gt;=I$1)</f>
        <v>1</v>
      </c>
      <c r="J61" s="6" t="b">
        <f aca="false">C61&lt;=K$1</f>
        <v>1</v>
      </c>
      <c r="L61" s="6" t="b">
        <f aca="false">B61&gt;=M$1</f>
        <v>1</v>
      </c>
      <c r="N61" s="6" t="b">
        <f aca="false">AND(H61, J61, L61)</f>
        <v>1</v>
      </c>
      <c r="P61" s="3" t="s">
        <v>98</v>
      </c>
      <c r="Q61" s="3" t="s">
        <v>86</v>
      </c>
      <c r="R61" s="7" t="s">
        <v>179</v>
      </c>
    </row>
    <row r="62" customFormat="false" ht="15.75" hidden="false" customHeight="false" outlineLevel="0" collapsed="false">
      <c r="A62" s="3" t="s">
        <v>180</v>
      </c>
      <c r="B62" s="3" t="n">
        <v>8</v>
      </c>
      <c r="C62" s="3" t="n">
        <v>30</v>
      </c>
      <c r="D62" s="3" t="n">
        <v>1</v>
      </c>
      <c r="E62" s="3" t="n">
        <v>7</v>
      </c>
      <c r="F62" s="5" t="n">
        <v>1.23</v>
      </c>
      <c r="G62" s="3" t="n">
        <v>1996</v>
      </c>
      <c r="H62" s="6" t="b">
        <f aca="false">AND(D62&lt;=I$1, E62&gt;=I$1)</f>
        <v>1</v>
      </c>
      <c r="J62" s="6" t="b">
        <f aca="false">C62&lt;=K$1</f>
        <v>1</v>
      </c>
      <c r="L62" s="6" t="b">
        <f aca="false">B62&gt;=M$1</f>
        <v>1</v>
      </c>
      <c r="N62" s="6" t="b">
        <f aca="false">AND(H62, J62, L62)</f>
        <v>1</v>
      </c>
      <c r="P62" s="3"/>
      <c r="Q62" s="3" t="s">
        <v>47</v>
      </c>
      <c r="R62" s="7" t="s">
        <v>181</v>
      </c>
      <c r="S62" s="3" t="s">
        <v>182</v>
      </c>
    </row>
    <row r="63" customFormat="false" ht="15.75" hidden="false" customHeight="false" outlineLevel="0" collapsed="false">
      <c r="A63" s="3" t="s">
        <v>183</v>
      </c>
      <c r="B63" s="3" t="n">
        <v>8</v>
      </c>
      <c r="C63" s="3" t="n">
        <v>20</v>
      </c>
      <c r="D63" s="3" t="n">
        <v>2</v>
      </c>
      <c r="E63" s="3" t="n">
        <v>4</v>
      </c>
      <c r="F63" s="5" t="n">
        <v>1.23</v>
      </c>
      <c r="G63" s="3" t="n">
        <v>2009</v>
      </c>
      <c r="H63" s="6" t="b">
        <f aca="false">AND(D63&lt;=I$1, E63&gt;=I$1)</f>
        <v>1</v>
      </c>
      <c r="J63" s="6" t="b">
        <f aca="false">C63&lt;=K$1</f>
        <v>1</v>
      </c>
      <c r="L63" s="6" t="b">
        <f aca="false">B63&gt;=M$1</f>
        <v>1</v>
      </c>
      <c r="N63" s="6" t="b">
        <f aca="false">AND(H63, J63, L63)</f>
        <v>1</v>
      </c>
      <c r="P63" s="3"/>
      <c r="Q63" s="3" t="s">
        <v>17</v>
      </c>
      <c r="R63" s="7" t="s">
        <v>184</v>
      </c>
    </row>
    <row r="64" customFormat="false" ht="15.75" hidden="false" customHeight="false" outlineLevel="0" collapsed="false">
      <c r="A64" s="3" t="s">
        <v>185</v>
      </c>
      <c r="B64" s="3" t="n">
        <v>8</v>
      </c>
      <c r="C64" s="3" t="n">
        <v>20</v>
      </c>
      <c r="D64" s="3" t="n">
        <v>2</v>
      </c>
      <c r="E64" s="3" t="n">
        <v>8</v>
      </c>
      <c r="F64" s="5" t="n">
        <v>1.23</v>
      </c>
      <c r="G64" s="3" t="n">
        <v>2005</v>
      </c>
      <c r="H64" s="6" t="b">
        <f aca="false">AND(D64&lt;=I$1, E64&gt;=I$1)</f>
        <v>1</v>
      </c>
      <c r="J64" s="6" t="b">
        <f aca="false">C64&lt;=K$1</f>
        <v>1</v>
      </c>
      <c r="L64" s="6" t="b">
        <f aca="false">B64&gt;=M$1</f>
        <v>1</v>
      </c>
      <c r="N64" s="6" t="b">
        <f aca="false">AND(H64, J64, L64)</f>
        <v>1</v>
      </c>
      <c r="P64" s="3"/>
      <c r="Q64" s="3" t="s">
        <v>17</v>
      </c>
      <c r="R64" s="7" t="s">
        <v>186</v>
      </c>
    </row>
    <row r="65" customFormat="false" ht="15.75" hidden="false" customHeight="false" outlineLevel="0" collapsed="false">
      <c r="A65" s="3" t="s">
        <v>187</v>
      </c>
      <c r="B65" s="3" t="n">
        <v>8</v>
      </c>
      <c r="C65" s="3" t="n">
        <v>20</v>
      </c>
      <c r="D65" s="3" t="n">
        <v>2</v>
      </c>
      <c r="E65" s="3" t="n">
        <v>4</v>
      </c>
      <c r="F65" s="5" t="n">
        <v>1.22</v>
      </c>
      <c r="G65" s="3" t="n">
        <v>2016</v>
      </c>
      <c r="H65" s="6" t="b">
        <f aca="false">AND(D65&lt;=I$1, E65&gt;=I$1)</f>
        <v>1</v>
      </c>
      <c r="J65" s="6" t="b">
        <f aca="false">C65&lt;=K$1</f>
        <v>1</v>
      </c>
      <c r="L65" s="6" t="b">
        <f aca="false">B65&gt;=M$1</f>
        <v>1</v>
      </c>
      <c r="N65" s="6" t="b">
        <f aca="false">AND(H65, J65, L65)</f>
        <v>1</v>
      </c>
      <c r="O65" s="3" t="s">
        <v>11</v>
      </c>
      <c r="P65" s="3"/>
      <c r="Q65" s="3" t="s">
        <v>17</v>
      </c>
      <c r="R65" s="7" t="s">
        <v>188</v>
      </c>
      <c r="S65" s="3" t="s">
        <v>189</v>
      </c>
    </row>
    <row r="66" customFormat="false" ht="15.75" hidden="false" customHeight="false" outlineLevel="0" collapsed="false">
      <c r="A66" s="3" t="s">
        <v>190</v>
      </c>
      <c r="B66" s="3" t="n">
        <v>4</v>
      </c>
      <c r="C66" s="3" t="n">
        <v>15</v>
      </c>
      <c r="D66" s="3" t="n">
        <v>2</v>
      </c>
      <c r="E66" s="3" t="n">
        <v>4</v>
      </c>
      <c r="F66" s="5" t="n">
        <v>1.2</v>
      </c>
      <c r="G66" s="3" t="n">
        <v>1999</v>
      </c>
      <c r="H66" s="6" t="b">
        <f aca="false">AND(D66&lt;=I$1, E66&gt;=I$1)</f>
        <v>1</v>
      </c>
      <c r="J66" s="6" t="b">
        <f aca="false">C66&lt;=K$1</f>
        <v>1</v>
      </c>
      <c r="L66" s="6" t="b">
        <f aca="false">B66&gt;=M$1</f>
        <v>0</v>
      </c>
      <c r="N66" s="6" t="b">
        <f aca="false">AND(H66, J66, L66)</f>
        <v>0</v>
      </c>
      <c r="P66" s="3" t="s">
        <v>78</v>
      </c>
      <c r="Q66" s="3" t="s">
        <v>17</v>
      </c>
      <c r="R66" s="7" t="s">
        <v>191</v>
      </c>
      <c r="S66" s="3" t="s">
        <v>192</v>
      </c>
    </row>
    <row r="67" customFormat="false" ht="15.75" hidden="false" customHeight="false" outlineLevel="0" collapsed="false">
      <c r="A67" s="3" t="s">
        <v>193</v>
      </c>
      <c r="B67" s="3" t="n">
        <v>8</v>
      </c>
      <c r="C67" s="3" t="n">
        <v>20</v>
      </c>
      <c r="D67" s="3" t="n">
        <v>2</v>
      </c>
      <c r="E67" s="3" t="n">
        <v>7</v>
      </c>
      <c r="F67" s="5" t="n">
        <v>1.15</v>
      </c>
      <c r="G67" s="3" t="n">
        <v>2005</v>
      </c>
      <c r="H67" s="6" t="b">
        <f aca="false">AND(D67&lt;=I$1, E67&gt;=I$1)</f>
        <v>1</v>
      </c>
      <c r="J67" s="6" t="b">
        <f aca="false">C67&lt;=K$1</f>
        <v>1</v>
      </c>
      <c r="L67" s="6" t="b">
        <f aca="false">B67&gt;=M$1</f>
        <v>1</v>
      </c>
      <c r="N67" s="6" t="b">
        <f aca="false">AND(H67, J67, L67)</f>
        <v>1</v>
      </c>
      <c r="P67" s="3"/>
      <c r="Q67" s="3" t="s">
        <v>86</v>
      </c>
      <c r="R67" s="7" t="s">
        <v>194</v>
      </c>
      <c r="S67" s="3" t="s">
        <v>56</v>
      </c>
    </row>
    <row r="68" customFormat="false" ht="15.75" hidden="false" customHeight="false" outlineLevel="0" collapsed="false">
      <c r="A68" s="3" t="s">
        <v>195</v>
      </c>
      <c r="B68" s="3" t="n">
        <v>8</v>
      </c>
      <c r="C68" s="3" t="n">
        <v>30</v>
      </c>
      <c r="D68" s="3" t="n">
        <v>2</v>
      </c>
      <c r="E68" s="3" t="n">
        <v>8</v>
      </c>
      <c r="F68" s="5" t="n">
        <v>1.14</v>
      </c>
      <c r="G68" s="3" t="n">
        <v>1989</v>
      </c>
      <c r="H68" s="6" t="b">
        <f aca="false">AND(D68&lt;=I$1, E68&gt;=I$1)</f>
        <v>1</v>
      </c>
      <c r="J68" s="6" t="b">
        <f aca="false">C68&lt;=K$1</f>
        <v>1</v>
      </c>
      <c r="L68" s="6" t="b">
        <f aca="false">B68&gt;=M$1</f>
        <v>1</v>
      </c>
      <c r="N68" s="6" t="b">
        <f aca="false">AND(H68, J68, L68)</f>
        <v>1</v>
      </c>
      <c r="P68" s="3" t="s">
        <v>43</v>
      </c>
      <c r="Q68" s="3" t="s">
        <v>17</v>
      </c>
      <c r="R68" s="7" t="s">
        <v>196</v>
      </c>
      <c r="S68" s="3" t="s">
        <v>74</v>
      </c>
    </row>
    <row r="69" customFormat="false" ht="15.75" hidden="false" customHeight="false" outlineLevel="0" collapsed="false">
      <c r="A69" s="3" t="s">
        <v>197</v>
      </c>
      <c r="B69" s="3" t="n">
        <v>8</v>
      </c>
      <c r="C69" s="3" t="n">
        <v>15</v>
      </c>
      <c r="D69" s="3" t="n">
        <v>2</v>
      </c>
      <c r="E69" s="3" t="n">
        <v>5</v>
      </c>
      <c r="F69" s="5" t="n">
        <v>1.12</v>
      </c>
      <c r="G69" s="3" t="n">
        <v>2012</v>
      </c>
      <c r="H69" s="6" t="b">
        <f aca="false">AND(D69&lt;=I$1, E69&gt;=I$1)</f>
        <v>1</v>
      </c>
      <c r="J69" s="6" t="b">
        <f aca="false">C69&lt;=K$1</f>
        <v>1</v>
      </c>
      <c r="L69" s="6" t="b">
        <f aca="false">B69&gt;=M$1</f>
        <v>1</v>
      </c>
      <c r="N69" s="6" t="b">
        <f aca="false">AND(H69, J69, L69)</f>
        <v>1</v>
      </c>
      <c r="O69" s="3" t="s">
        <v>33</v>
      </c>
      <c r="P69" s="3"/>
      <c r="Q69" s="3" t="s">
        <v>86</v>
      </c>
      <c r="R69" s="7" t="s">
        <v>198</v>
      </c>
      <c r="S69" s="3" t="s">
        <v>199</v>
      </c>
    </row>
    <row r="70" customFormat="false" ht="15.75" hidden="false" customHeight="false" outlineLevel="0" collapsed="false">
      <c r="A70" s="3" t="s">
        <v>200</v>
      </c>
      <c r="B70" s="3" t="n">
        <v>4</v>
      </c>
      <c r="C70" s="3" t="n">
        <v>20</v>
      </c>
      <c r="D70" s="3" t="n">
        <v>2</v>
      </c>
      <c r="E70" s="3" t="n">
        <v>4</v>
      </c>
      <c r="F70" s="5" t="n">
        <v>1.12</v>
      </c>
      <c r="G70" s="3" t="n">
        <v>1998</v>
      </c>
      <c r="H70" s="6" t="b">
        <f aca="false">AND(D70&lt;=I$1, E70&gt;=I$1)</f>
        <v>1</v>
      </c>
      <c r="J70" s="6" t="b">
        <f aca="false">C70&lt;=K$1</f>
        <v>1</v>
      </c>
      <c r="L70" s="6" t="b">
        <f aca="false">B70&gt;=M$1</f>
        <v>0</v>
      </c>
      <c r="N70" s="6" t="b">
        <f aca="false">AND(H70, J70, L70)</f>
        <v>0</v>
      </c>
      <c r="O70" s="3" t="s">
        <v>176</v>
      </c>
      <c r="P70" s="3" t="s">
        <v>30</v>
      </c>
      <c r="Q70" s="3" t="s">
        <v>17</v>
      </c>
      <c r="R70" s="7" t="s">
        <v>201</v>
      </c>
    </row>
    <row r="71" customFormat="false" ht="15.75" hidden="false" customHeight="false" outlineLevel="0" collapsed="false">
      <c r="A71" s="3" t="s">
        <v>202</v>
      </c>
      <c r="B71" s="3" t="n">
        <v>6</v>
      </c>
      <c r="C71" s="3" t="n">
        <v>30</v>
      </c>
      <c r="D71" s="3" t="n">
        <v>2</v>
      </c>
      <c r="E71" s="3" t="n">
        <v>12</v>
      </c>
      <c r="F71" s="5" t="n">
        <v>1.11</v>
      </c>
      <c r="G71" s="3" t="n">
        <v>1971</v>
      </c>
      <c r="H71" s="6" t="b">
        <f aca="false">AND(D71&lt;=I$1, E71&gt;=I$1)</f>
        <v>1</v>
      </c>
      <c r="J71" s="6" t="b">
        <f aca="false">C71&lt;=K$1</f>
        <v>1</v>
      </c>
      <c r="L71" s="6" t="b">
        <f aca="false">B71&gt;=M$1</f>
        <v>1</v>
      </c>
      <c r="N71" s="6" t="b">
        <f aca="false">AND(H71, J71, L71)</f>
        <v>1</v>
      </c>
      <c r="P71" s="3"/>
      <c r="Q71" s="3" t="s">
        <v>47</v>
      </c>
      <c r="R71" s="7" t="s">
        <v>203</v>
      </c>
    </row>
    <row r="72" customFormat="false" ht="15.75" hidden="false" customHeight="false" outlineLevel="0" collapsed="false">
      <c r="A72" s="3" t="s">
        <v>204</v>
      </c>
      <c r="B72" s="3" t="n">
        <v>6</v>
      </c>
      <c r="C72" s="3" t="n">
        <v>30</v>
      </c>
      <c r="D72" s="3" t="n">
        <v>2</v>
      </c>
      <c r="E72" s="3" t="n">
        <v>6</v>
      </c>
      <c r="F72" s="5" t="n">
        <v>1.1</v>
      </c>
      <c r="G72" s="3" t="n">
        <v>1927</v>
      </c>
      <c r="H72" s="6" t="b">
        <f aca="false">AND(D72&lt;=I$1, E72&gt;=I$1)</f>
        <v>1</v>
      </c>
      <c r="J72" s="6" t="b">
        <f aca="false">C72&lt;=K$1</f>
        <v>1</v>
      </c>
      <c r="L72" s="6" t="b">
        <f aca="false">B72&gt;=M$1</f>
        <v>1</v>
      </c>
      <c r="N72" s="6" t="b">
        <f aca="false">AND(H72, J72, L72)</f>
        <v>1</v>
      </c>
      <c r="P72" s="3" t="s">
        <v>43</v>
      </c>
      <c r="Q72" s="3" t="s">
        <v>17</v>
      </c>
      <c r="R72" s="7" t="s">
        <v>205</v>
      </c>
      <c r="S72" s="3" t="s">
        <v>206</v>
      </c>
    </row>
    <row r="73" customFormat="false" ht="15.75" hidden="false" customHeight="false" outlineLevel="0" collapsed="false">
      <c r="A73" s="3" t="s">
        <v>207</v>
      </c>
      <c r="B73" s="3" t="n">
        <v>8</v>
      </c>
      <c r="C73" s="3" t="n">
        <v>30</v>
      </c>
      <c r="D73" s="3" t="n">
        <v>2</v>
      </c>
      <c r="E73" s="3" t="n">
        <v>8</v>
      </c>
      <c r="F73" s="5" t="n">
        <v>1.07</v>
      </c>
      <c r="G73" s="3" t="n">
        <v>2015</v>
      </c>
      <c r="H73" s="6" t="b">
        <f aca="false">AND(D73&lt;=I$1, E73&gt;=I$1)</f>
        <v>1</v>
      </c>
      <c r="J73" s="6" t="b">
        <f aca="false">C73&lt;=K$1</f>
        <v>1</v>
      </c>
      <c r="L73" s="6" t="b">
        <f aca="false">B73&gt;=M$1</f>
        <v>1</v>
      </c>
      <c r="N73" s="6" t="b">
        <f aca="false">AND(H73, J73, L73)</f>
        <v>1</v>
      </c>
      <c r="P73" s="3"/>
      <c r="Q73" s="3" t="s">
        <v>47</v>
      </c>
      <c r="R73" s="7" t="s">
        <v>208</v>
      </c>
    </row>
    <row r="74" customFormat="false" ht="15.75" hidden="false" customHeight="false" outlineLevel="0" collapsed="false">
      <c r="A74" s="3" t="s">
        <v>209</v>
      </c>
      <c r="B74" s="3" t="n">
        <v>8</v>
      </c>
      <c r="C74" s="3" t="n">
        <v>20</v>
      </c>
      <c r="D74" s="3" t="n">
        <v>2</v>
      </c>
      <c r="E74" s="3" t="n">
        <v>4</v>
      </c>
      <c r="F74" s="5" t="n">
        <v>1.07</v>
      </c>
      <c r="G74" s="3" t="n">
        <v>2018</v>
      </c>
      <c r="H74" s="6" t="b">
        <f aca="false">AND(D74&lt;=I$1, E74&gt;=I$1)</f>
        <v>1</v>
      </c>
      <c r="J74" s="6" t="b">
        <f aca="false">C74&lt;=K$1</f>
        <v>1</v>
      </c>
      <c r="L74" s="6" t="b">
        <f aca="false">B74&gt;=M$1</f>
        <v>1</v>
      </c>
      <c r="N74" s="6" t="b">
        <f aca="false">AND(H74, J74, L74)</f>
        <v>1</v>
      </c>
      <c r="O74" s="3" t="s">
        <v>33</v>
      </c>
      <c r="P74" s="3" t="s">
        <v>43</v>
      </c>
      <c r="Q74" s="3" t="s">
        <v>47</v>
      </c>
      <c r="R74" s="7" t="s">
        <v>210</v>
      </c>
      <c r="S74" s="3" t="s">
        <v>211</v>
      </c>
    </row>
    <row r="75" customFormat="false" ht="15.75" hidden="false" customHeight="false" outlineLevel="0" collapsed="false">
      <c r="A75" s="3" t="s">
        <v>212</v>
      </c>
      <c r="B75" s="3" t="n">
        <v>7</v>
      </c>
      <c r="C75" s="3" t="n">
        <v>10</v>
      </c>
      <c r="D75" s="3" t="n">
        <v>2</v>
      </c>
      <c r="E75" s="3" t="n">
        <v>4</v>
      </c>
      <c r="F75" s="5" t="n">
        <v>1.05</v>
      </c>
      <c r="G75" s="3" t="n">
        <v>2012</v>
      </c>
      <c r="H75" s="6" t="b">
        <f aca="false">AND(D75&lt;=I$1, E75&gt;=I$1)</f>
        <v>1</v>
      </c>
      <c r="J75" s="6" t="b">
        <f aca="false">C75&lt;=K$1</f>
        <v>1</v>
      </c>
      <c r="L75" s="6" t="b">
        <f aca="false">B75&gt;=M$1</f>
        <v>1</v>
      </c>
      <c r="N75" s="6" t="b">
        <f aca="false">AND(H75, J75, L75)</f>
        <v>1</v>
      </c>
      <c r="P75" s="3" t="s">
        <v>43</v>
      </c>
      <c r="Q75" s="3" t="s">
        <v>47</v>
      </c>
      <c r="R75" s="7" t="s">
        <v>213</v>
      </c>
      <c r="S75" s="3" t="s">
        <v>214</v>
      </c>
    </row>
    <row r="76" customFormat="false" ht="15.75" hidden="false" customHeight="false" outlineLevel="0" collapsed="false">
      <c r="A76" s="3" t="s">
        <v>215</v>
      </c>
      <c r="B76" s="3" t="n">
        <v>8</v>
      </c>
      <c r="C76" s="3" t="n">
        <v>25</v>
      </c>
      <c r="D76" s="3" t="n">
        <v>3</v>
      </c>
      <c r="E76" s="3" t="n">
        <v>5</v>
      </c>
      <c r="F76" s="5" t="n">
        <v>1.02</v>
      </c>
      <c r="G76" s="3" t="n">
        <v>2019</v>
      </c>
      <c r="H76" s="6" t="b">
        <f aca="false">AND(D76&lt;=I$1, E76&gt;=I$1)</f>
        <v>1</v>
      </c>
      <c r="J76" s="6" t="b">
        <f aca="false">C76&lt;=K$1</f>
        <v>1</v>
      </c>
      <c r="L76" s="6" t="b">
        <f aca="false">B76&gt;=M$1</f>
        <v>1</v>
      </c>
      <c r="N76" s="6" t="b">
        <f aca="false">AND(H76, J76, L76)</f>
        <v>1</v>
      </c>
      <c r="O76" s="3" t="s">
        <v>11</v>
      </c>
      <c r="P76" s="3" t="s">
        <v>43</v>
      </c>
      <c r="Q76" s="3" t="s">
        <v>17</v>
      </c>
      <c r="R76" s="7" t="s">
        <v>216</v>
      </c>
      <c r="S76" s="3" t="s">
        <v>217</v>
      </c>
    </row>
    <row r="77" customFormat="false" ht="15.75" hidden="false" customHeight="false" outlineLevel="0" collapsed="false">
      <c r="A77" s="3" t="s">
        <v>218</v>
      </c>
      <c r="B77" s="3" t="n">
        <v>8</v>
      </c>
      <c r="C77" s="3" t="n">
        <v>15</v>
      </c>
      <c r="D77" s="3" t="n">
        <v>1</v>
      </c>
      <c r="E77" s="3" t="n">
        <v>4</v>
      </c>
      <c r="F77" s="5" t="n">
        <v>1</v>
      </c>
      <c r="G77" s="3" t="n">
        <v>2007</v>
      </c>
      <c r="H77" s="6" t="b">
        <f aca="false">AND(D77&lt;=I$1, E77&gt;=I$1)</f>
        <v>1</v>
      </c>
      <c r="J77" s="6" t="b">
        <f aca="false">C77&lt;=K$1</f>
        <v>1</v>
      </c>
      <c r="L77" s="6" t="b">
        <f aca="false">B77&gt;=M$1</f>
        <v>1</v>
      </c>
      <c r="N77" s="6" t="b">
        <f aca="false">AND(H77, J77, L77)</f>
        <v>1</v>
      </c>
      <c r="P77" s="3" t="s">
        <v>43</v>
      </c>
      <c r="Q77" s="3" t="s">
        <v>86</v>
      </c>
      <c r="R77" s="7" t="s">
        <v>219</v>
      </c>
      <c r="S77" s="3" t="s">
        <v>19</v>
      </c>
    </row>
    <row r="78" customFormat="false" ht="15.75" hidden="false" customHeight="false" outlineLevel="0" collapsed="false">
      <c r="A78" s="3" t="s">
        <v>220</v>
      </c>
      <c r="B78" s="3" t="n">
        <v>8</v>
      </c>
      <c r="C78" s="3" t="n">
        <v>20</v>
      </c>
      <c r="D78" s="3" t="n">
        <v>2</v>
      </c>
      <c r="E78" s="3" t="n">
        <v>12</v>
      </c>
      <c r="F78" s="5" t="n">
        <v>1</v>
      </c>
      <c r="G78" s="3" t="n">
        <v>2014</v>
      </c>
      <c r="H78" s="6" t="b">
        <f aca="false">AND(D78&lt;=I$1, E78&gt;=I$1)</f>
        <v>1</v>
      </c>
      <c r="J78" s="6" t="b">
        <f aca="false">C78&lt;=K$1</f>
        <v>1</v>
      </c>
      <c r="L78" s="6" t="b">
        <f aca="false">B78&gt;=M$1</f>
        <v>1</v>
      </c>
      <c r="N78" s="6" t="b">
        <f aca="false">AND(H78, J78, L78)</f>
        <v>1</v>
      </c>
      <c r="P78" s="3"/>
      <c r="Q78" s="3" t="s">
        <v>47</v>
      </c>
      <c r="R78" s="7" t="s">
        <v>221</v>
      </c>
      <c r="S78" s="3" t="s">
        <v>182</v>
      </c>
    </row>
    <row r="79" customFormat="false" ht="15.75" hidden="false" customHeight="false" outlineLevel="0" collapsed="false">
      <c r="A79" s="3" t="s">
        <v>222</v>
      </c>
      <c r="B79" s="3" t="n">
        <v>8</v>
      </c>
      <c r="C79" s="3" t="n">
        <v>20</v>
      </c>
      <c r="D79" s="3" t="n">
        <v>2</v>
      </c>
      <c r="E79" s="3" t="n">
        <v>6</v>
      </c>
      <c r="F79" s="5" t="n">
        <v>1</v>
      </c>
      <c r="G79" s="3" t="n">
        <v>2014</v>
      </c>
      <c r="H79" s="6" t="b">
        <f aca="false">AND(D79&lt;=I$1, E79&gt;=I$1)</f>
        <v>1</v>
      </c>
      <c r="J79" s="6" t="b">
        <f aca="false">C79&lt;=K$1</f>
        <v>1</v>
      </c>
      <c r="L79" s="6" t="b">
        <f aca="false">B79&gt;=M$1</f>
        <v>1</v>
      </c>
      <c r="N79" s="6" t="b">
        <f aca="false">AND(H79, J79, L79)</f>
        <v>1</v>
      </c>
      <c r="P79" s="3" t="s">
        <v>30</v>
      </c>
      <c r="Q79" s="3" t="s">
        <v>47</v>
      </c>
      <c r="R79" s="7" t="s">
        <v>221</v>
      </c>
      <c r="S79" s="3" t="s">
        <v>182</v>
      </c>
    </row>
    <row r="80" customFormat="false" ht="15.75" hidden="false" customHeight="false" outlineLevel="0" collapsed="false">
      <c r="A80" s="3" t="s">
        <v>223</v>
      </c>
      <c r="B80" s="3" t="n">
        <v>5</v>
      </c>
      <c r="C80" s="3" t="n">
        <v>30</v>
      </c>
      <c r="D80" s="3" t="n">
        <v>2</v>
      </c>
      <c r="E80" s="3" t="n">
        <v>6</v>
      </c>
      <c r="F80" s="5" t="n">
        <v>1</v>
      </c>
      <c r="G80" s="3" t="n">
        <v>2013</v>
      </c>
      <c r="H80" s="6" t="b">
        <f aca="false">AND(D80&lt;=I$1, E80&gt;=I$1)</f>
        <v>1</v>
      </c>
      <c r="J80" s="6" t="b">
        <f aca="false">C80&lt;=K$1</f>
        <v>1</v>
      </c>
      <c r="L80" s="6" t="b">
        <f aca="false">B80&gt;=M$1</f>
        <v>0</v>
      </c>
      <c r="N80" s="6" t="b">
        <f aca="false">AND(H80, J80, L80)</f>
        <v>0</v>
      </c>
      <c r="P80" s="3"/>
      <c r="Q80" s="3" t="s">
        <v>47</v>
      </c>
      <c r="R80" s="7" t="s">
        <v>224</v>
      </c>
      <c r="S80" s="3" t="s">
        <v>182</v>
      </c>
    </row>
    <row r="81" customFormat="false" ht="15.75" hidden="false" customHeight="false" outlineLevel="0" collapsed="false">
      <c r="A81" s="3" t="s">
        <v>225</v>
      </c>
      <c r="B81" s="3" t="n">
        <v>10</v>
      </c>
      <c r="D81" s="3" t="n">
        <v>2</v>
      </c>
      <c r="E81" s="3" t="n">
        <v>4</v>
      </c>
      <c r="F81" s="9"/>
      <c r="G81" s="3" t="n">
        <v>1989</v>
      </c>
      <c r="H81" s="6" t="b">
        <f aca="false">AND(D81&lt;=I$1, E81&gt;=I$1)</f>
        <v>1</v>
      </c>
      <c r="J81" s="6" t="b">
        <f aca="false">C81&lt;=K$1</f>
        <v>1</v>
      </c>
      <c r="L81" s="6" t="b">
        <f aca="false">B81&gt;=M$1</f>
        <v>1</v>
      </c>
      <c r="N81" s="6" t="b">
        <f aca="false">AND(H81, J81, L81)</f>
        <v>1</v>
      </c>
      <c r="P81" s="3" t="s">
        <v>30</v>
      </c>
      <c r="Q81" s="3" t="s">
        <v>17</v>
      </c>
    </row>
    <row r="82" customFormat="false" ht="15.75" hidden="false" customHeight="false" outlineLevel="0" collapsed="false">
      <c r="A82" s="3" t="s">
        <v>226</v>
      </c>
      <c r="B82" s="3" t="n">
        <v>10</v>
      </c>
      <c r="C82" s="3" t="n">
        <v>60</v>
      </c>
      <c r="D82" s="3" t="n">
        <v>2</v>
      </c>
      <c r="E82" s="3" t="n">
        <v>5</v>
      </c>
      <c r="F82" s="9"/>
      <c r="G82" s="3" t="n">
        <v>1986</v>
      </c>
      <c r="H82" s="6" t="b">
        <f aca="false">AND(D82&lt;=I$1, E82&gt;=I$1)</f>
        <v>1</v>
      </c>
      <c r="I82" s="3"/>
      <c r="J82" s="6" t="b">
        <f aca="false">C82&lt;=K$1</f>
        <v>0</v>
      </c>
      <c r="L82" s="6" t="b">
        <f aca="false">B82&gt;=M$1</f>
        <v>1</v>
      </c>
      <c r="N82" s="6" t="b">
        <f aca="false">AND(H82, J82, L82)</f>
        <v>0</v>
      </c>
      <c r="P82" s="3" t="s">
        <v>30</v>
      </c>
      <c r="Q82" s="3" t="s">
        <v>17</v>
      </c>
      <c r="R82" s="7" t="s">
        <v>227</v>
      </c>
    </row>
    <row r="83" customFormat="false" ht="15.75" hidden="false" customHeight="false" outlineLevel="0" collapsed="false">
      <c r="A83" s="3" t="s">
        <v>228</v>
      </c>
      <c r="B83" s="3" t="n">
        <v>12</v>
      </c>
      <c r="D83" s="3" t="n">
        <v>2</v>
      </c>
      <c r="E83" s="3" t="n">
        <v>6</v>
      </c>
      <c r="F83" s="9"/>
      <c r="G83" s="3" t="n">
        <v>1984</v>
      </c>
      <c r="H83" s="6" t="b">
        <f aca="false">AND(D83&lt;=I$1, E83&gt;=I$1)</f>
        <v>1</v>
      </c>
      <c r="J83" s="6" t="b">
        <f aca="false">C83&lt;=K$1</f>
        <v>1</v>
      </c>
      <c r="L83" s="6" t="b">
        <f aca="false">B83&gt;=M$1</f>
        <v>1</v>
      </c>
      <c r="N83" s="6" t="b">
        <f aca="false">AND(H83, J83, L83)</f>
        <v>1</v>
      </c>
      <c r="P83" s="3" t="s">
        <v>30</v>
      </c>
      <c r="Q83" s="3" t="s">
        <v>17</v>
      </c>
      <c r="R83" s="7" t="s">
        <v>229</v>
      </c>
    </row>
    <row r="84" customFormat="false" ht="15.75" hidden="false" customHeight="false" outlineLevel="0" collapsed="false">
      <c r="A84" s="3" t="s">
        <v>230</v>
      </c>
      <c r="B84" s="3" t="n">
        <v>10</v>
      </c>
      <c r="C84" s="3" t="n">
        <v>60</v>
      </c>
      <c r="D84" s="3" t="n">
        <v>2</v>
      </c>
      <c r="E84" s="3" t="n">
        <v>6</v>
      </c>
      <c r="F84" s="9"/>
      <c r="G84" s="3" t="n">
        <v>1985</v>
      </c>
      <c r="H84" s="6" t="b">
        <f aca="false">AND(D84&lt;=I$1, E84&gt;=I$1)</f>
        <v>1</v>
      </c>
      <c r="J84" s="6" t="b">
        <f aca="false">C84&lt;=K$1</f>
        <v>0</v>
      </c>
      <c r="L84" s="6" t="b">
        <f aca="false">B84&gt;=M$1</f>
        <v>1</v>
      </c>
      <c r="N84" s="6" t="b">
        <f aca="false">AND(H84, J84, L84)</f>
        <v>0</v>
      </c>
      <c r="P84" s="3" t="s">
        <v>30</v>
      </c>
      <c r="Q84" s="3" t="s">
        <v>17</v>
      </c>
      <c r="R84" s="7" t="s">
        <v>231</v>
      </c>
    </row>
    <row r="85" customFormat="false" ht="15.75" hidden="false" customHeight="false" outlineLevel="0" collapsed="false">
      <c r="A85" s="3" t="s">
        <v>232</v>
      </c>
      <c r="B85" s="3" t="n">
        <v>8</v>
      </c>
      <c r="C85" s="3" t="n">
        <v>30</v>
      </c>
      <c r="D85" s="3" t="n">
        <v>2</v>
      </c>
      <c r="E85" s="3" t="n">
        <v>9</v>
      </c>
      <c r="F85" s="9"/>
      <c r="G85" s="3" t="n">
        <v>2021</v>
      </c>
      <c r="H85" s="6" t="b">
        <f aca="false">AND(D85&lt;=I$1, E85&gt;=I$1)</f>
        <v>1</v>
      </c>
      <c r="J85" s="6" t="b">
        <f aca="false">C85&lt;=K$1</f>
        <v>1</v>
      </c>
      <c r="L85" s="6" t="b">
        <f aca="false">B85&gt;=M$1</f>
        <v>1</v>
      </c>
      <c r="N85" s="6" t="b">
        <f aca="false">AND(H85, J85, L85)</f>
        <v>1</v>
      </c>
      <c r="P85" s="3" t="s">
        <v>30</v>
      </c>
      <c r="Q85" s="3" t="s">
        <v>47</v>
      </c>
      <c r="R85" s="7" t="s">
        <v>233</v>
      </c>
    </row>
    <row r="86" customFormat="false" ht="15.75" hidden="false" customHeight="false" outlineLevel="0" collapsed="false">
      <c r="A86" s="3" t="s">
        <v>234</v>
      </c>
      <c r="B86" s="3" t="n">
        <v>8</v>
      </c>
      <c r="D86" s="3" t="n">
        <v>2</v>
      </c>
      <c r="E86" s="3" t="n">
        <v>6</v>
      </c>
      <c r="F86" s="9"/>
      <c r="G86" s="3" t="n">
        <v>2016</v>
      </c>
      <c r="H86" s="6" t="b">
        <f aca="false">AND(D86&lt;=I$1, E86&gt;=I$1)</f>
        <v>1</v>
      </c>
      <c r="J86" s="6" t="b">
        <f aca="false">C86&lt;=K$1</f>
        <v>1</v>
      </c>
      <c r="L86" s="6" t="b">
        <f aca="false">B86&gt;=M$1</f>
        <v>1</v>
      </c>
      <c r="N86" s="6" t="b">
        <f aca="false">AND(H86, J86, L86)</f>
        <v>1</v>
      </c>
      <c r="P86" s="3"/>
      <c r="Q86" s="3" t="s">
        <v>47</v>
      </c>
      <c r="R86" s="7" t="s">
        <v>235</v>
      </c>
    </row>
    <row r="87" customFormat="false" ht="15.75" hidden="true" customHeight="false" outlineLevel="0" collapsed="false">
      <c r="A87" s="3"/>
      <c r="F87" s="9"/>
    </row>
    <row r="88" customFormat="false" ht="15.75" hidden="true" customHeight="false" outlineLevel="0" collapsed="false">
      <c r="F88" s="9"/>
    </row>
    <row r="89" customFormat="false" ht="15.75" hidden="true" customHeight="false" outlineLevel="0" collapsed="false">
      <c r="F89" s="9"/>
    </row>
    <row r="90" customFormat="false" ht="15.75" hidden="true" customHeight="false" outlineLevel="0" collapsed="false">
      <c r="F90" s="9"/>
    </row>
    <row r="91" customFormat="false" ht="15.75" hidden="true" customHeight="false" outlineLevel="0" collapsed="false">
      <c r="F91" s="9"/>
    </row>
    <row r="92" customFormat="false" ht="15.75" hidden="true" customHeight="false" outlineLevel="0" collapsed="false">
      <c r="F92" s="9"/>
    </row>
    <row r="93" customFormat="false" ht="15.75" hidden="true" customHeight="false" outlineLevel="0" collapsed="false">
      <c r="F93" s="9"/>
    </row>
    <row r="94" customFormat="false" ht="15.75" hidden="true" customHeight="false" outlineLevel="0" collapsed="false">
      <c r="F94" s="9"/>
    </row>
    <row r="95" customFormat="false" ht="15.75" hidden="true" customHeight="false" outlineLevel="0" collapsed="false">
      <c r="F95" s="9"/>
    </row>
    <row r="96" customFormat="false" ht="15.75" hidden="true" customHeight="false" outlineLevel="0" collapsed="false">
      <c r="F96" s="9"/>
    </row>
    <row r="97" customFormat="false" ht="15.75" hidden="true" customHeight="false" outlineLevel="0" collapsed="false">
      <c r="F97" s="9"/>
    </row>
    <row r="98" customFormat="false" ht="15.75" hidden="true" customHeight="false" outlineLevel="0" collapsed="false">
      <c r="F98" s="9"/>
    </row>
    <row r="99" customFormat="false" ht="15.75" hidden="true" customHeight="false" outlineLevel="0" collapsed="false">
      <c r="F99" s="9"/>
    </row>
    <row r="100" customFormat="false" ht="15.75" hidden="true" customHeight="false" outlineLevel="0" collapsed="false">
      <c r="F100" s="9"/>
    </row>
    <row r="101" customFormat="false" ht="15.75" hidden="true" customHeight="false" outlineLevel="0" collapsed="false">
      <c r="F101" s="9"/>
    </row>
    <row r="102" customFormat="false" ht="15.75" hidden="true" customHeight="false" outlineLevel="0" collapsed="false">
      <c r="F102" s="9"/>
    </row>
    <row r="103" customFormat="false" ht="15.75" hidden="true" customHeight="false" outlineLevel="0" collapsed="false">
      <c r="F103" s="9"/>
    </row>
    <row r="104" customFormat="false" ht="15.75" hidden="true" customHeight="false" outlineLevel="0" collapsed="false">
      <c r="F104" s="9"/>
    </row>
    <row r="105" customFormat="false" ht="15.75" hidden="true" customHeight="false" outlineLevel="0" collapsed="false">
      <c r="F105" s="9"/>
    </row>
    <row r="106" customFormat="false" ht="15.75" hidden="true" customHeight="false" outlineLevel="0" collapsed="false">
      <c r="F106" s="9"/>
    </row>
    <row r="107" customFormat="false" ht="15.75" hidden="true" customHeight="false" outlineLevel="0" collapsed="false">
      <c r="F107" s="9"/>
    </row>
    <row r="108" customFormat="false" ht="15.75" hidden="true" customHeight="false" outlineLevel="0" collapsed="false">
      <c r="F108" s="9"/>
    </row>
    <row r="109" customFormat="false" ht="15.75" hidden="true" customHeight="false" outlineLevel="0" collapsed="false">
      <c r="F109" s="9"/>
    </row>
    <row r="110" customFormat="false" ht="15.75" hidden="true" customHeight="false" outlineLevel="0" collapsed="false">
      <c r="F110" s="9"/>
    </row>
    <row r="111" customFormat="false" ht="15.75" hidden="true" customHeight="false" outlineLevel="0" collapsed="false">
      <c r="F111" s="9"/>
    </row>
    <row r="112" customFormat="false" ht="15.75" hidden="true" customHeight="false" outlineLevel="0" collapsed="false">
      <c r="F112" s="9"/>
    </row>
    <row r="113" customFormat="false" ht="15.75" hidden="true" customHeight="false" outlineLevel="0" collapsed="false">
      <c r="F113" s="9"/>
    </row>
    <row r="114" customFormat="false" ht="15.75" hidden="true" customHeight="false" outlineLevel="0" collapsed="false">
      <c r="F114" s="9"/>
    </row>
    <row r="115" customFormat="false" ht="15.75" hidden="true" customHeight="false" outlineLevel="0" collapsed="false">
      <c r="F115" s="9"/>
    </row>
    <row r="116" customFormat="false" ht="15.75" hidden="true" customHeight="false" outlineLevel="0" collapsed="false">
      <c r="F116" s="9"/>
    </row>
    <row r="117" customFormat="false" ht="15.75" hidden="true" customHeight="false" outlineLevel="0" collapsed="false">
      <c r="F117" s="9"/>
    </row>
    <row r="118" customFormat="false" ht="15.75" hidden="true" customHeight="false" outlineLevel="0" collapsed="false">
      <c r="F118" s="9"/>
    </row>
    <row r="119" customFormat="false" ht="15.75" hidden="true" customHeight="false" outlineLevel="0" collapsed="false">
      <c r="F119" s="9"/>
    </row>
    <row r="120" customFormat="false" ht="15.75" hidden="true" customHeight="false" outlineLevel="0" collapsed="false">
      <c r="F120" s="9"/>
    </row>
    <row r="121" customFormat="false" ht="15.75" hidden="true" customHeight="false" outlineLevel="0" collapsed="false">
      <c r="F121" s="9"/>
    </row>
    <row r="122" customFormat="false" ht="15.75" hidden="true" customHeight="false" outlineLevel="0" collapsed="false">
      <c r="F122" s="9"/>
    </row>
    <row r="123" customFormat="false" ht="15.75" hidden="true" customHeight="false" outlineLevel="0" collapsed="false">
      <c r="F123" s="9"/>
    </row>
    <row r="124" customFormat="false" ht="15.75" hidden="true" customHeight="false" outlineLevel="0" collapsed="false">
      <c r="F124" s="9"/>
    </row>
    <row r="125" customFormat="false" ht="15.75" hidden="true" customHeight="false" outlineLevel="0" collapsed="false">
      <c r="F125" s="9"/>
    </row>
    <row r="126" customFormat="false" ht="15.75" hidden="true" customHeight="false" outlineLevel="0" collapsed="false">
      <c r="F126" s="9"/>
    </row>
    <row r="127" customFormat="false" ht="15.75" hidden="true" customHeight="false" outlineLevel="0" collapsed="false">
      <c r="F127" s="9"/>
    </row>
    <row r="128" customFormat="false" ht="15.75" hidden="true" customHeight="false" outlineLevel="0" collapsed="false">
      <c r="F128" s="9"/>
    </row>
    <row r="129" customFormat="false" ht="15.75" hidden="true" customHeight="false" outlineLevel="0" collapsed="false">
      <c r="F129" s="9"/>
    </row>
    <row r="130" customFormat="false" ht="15.75" hidden="true" customHeight="false" outlineLevel="0" collapsed="false">
      <c r="F130" s="9"/>
    </row>
    <row r="131" customFormat="false" ht="15.75" hidden="true" customHeight="false" outlineLevel="0" collapsed="false">
      <c r="F131" s="9"/>
    </row>
    <row r="132" customFormat="false" ht="15.75" hidden="true" customHeight="false" outlineLevel="0" collapsed="false">
      <c r="F132" s="9"/>
    </row>
    <row r="133" customFormat="false" ht="15.75" hidden="true" customHeight="false" outlineLevel="0" collapsed="false">
      <c r="F133" s="9"/>
    </row>
    <row r="134" customFormat="false" ht="15.75" hidden="true" customHeight="false" outlineLevel="0" collapsed="false">
      <c r="F134" s="9"/>
    </row>
    <row r="135" customFormat="false" ht="15.75" hidden="true" customHeight="false" outlineLevel="0" collapsed="false">
      <c r="F135" s="9"/>
    </row>
    <row r="136" customFormat="false" ht="15.75" hidden="true" customHeight="false" outlineLevel="0" collapsed="false">
      <c r="F136" s="9"/>
    </row>
    <row r="137" customFormat="false" ht="15.75" hidden="true" customHeight="false" outlineLevel="0" collapsed="false">
      <c r="F137" s="9"/>
    </row>
    <row r="138" customFormat="false" ht="15.75" hidden="true" customHeight="false" outlineLevel="0" collapsed="false">
      <c r="F138" s="9"/>
    </row>
    <row r="139" customFormat="false" ht="15.75" hidden="true" customHeight="false" outlineLevel="0" collapsed="false">
      <c r="F139" s="9"/>
    </row>
    <row r="140" customFormat="false" ht="15.75" hidden="true" customHeight="false" outlineLevel="0" collapsed="false">
      <c r="F140" s="9"/>
    </row>
    <row r="141" customFormat="false" ht="15.75" hidden="true" customHeight="false" outlineLevel="0" collapsed="false">
      <c r="F141" s="9"/>
    </row>
    <row r="142" customFormat="false" ht="15.75" hidden="true" customHeight="false" outlineLevel="0" collapsed="false">
      <c r="F142" s="9"/>
    </row>
    <row r="143" customFormat="false" ht="15.75" hidden="true" customHeight="false" outlineLevel="0" collapsed="false">
      <c r="F143" s="9"/>
    </row>
    <row r="144" customFormat="false" ht="15.75" hidden="true" customHeight="false" outlineLevel="0" collapsed="false">
      <c r="F144" s="9"/>
    </row>
    <row r="145" customFormat="false" ht="15.75" hidden="true" customHeight="false" outlineLevel="0" collapsed="false">
      <c r="F145" s="9"/>
    </row>
    <row r="146" customFormat="false" ht="15.75" hidden="true" customHeight="false" outlineLevel="0" collapsed="false">
      <c r="F146" s="9"/>
    </row>
    <row r="147" customFormat="false" ht="15.75" hidden="true" customHeight="false" outlineLevel="0" collapsed="false">
      <c r="F147" s="9"/>
    </row>
    <row r="148" customFormat="false" ht="15.75" hidden="true" customHeight="false" outlineLevel="0" collapsed="false">
      <c r="F148" s="9"/>
    </row>
    <row r="149" customFormat="false" ht="15.75" hidden="true" customHeight="false" outlineLevel="0" collapsed="false">
      <c r="F149" s="9"/>
    </row>
    <row r="150" customFormat="false" ht="15.75" hidden="true" customHeight="false" outlineLevel="0" collapsed="false">
      <c r="F150" s="9"/>
    </row>
    <row r="151" customFormat="false" ht="15.75" hidden="true" customHeight="false" outlineLevel="0" collapsed="false">
      <c r="F151" s="9"/>
    </row>
    <row r="152" customFormat="false" ht="15.75" hidden="true" customHeight="false" outlineLevel="0" collapsed="false">
      <c r="F152" s="9"/>
    </row>
    <row r="153" customFormat="false" ht="15.75" hidden="true" customHeight="false" outlineLevel="0" collapsed="false">
      <c r="F153" s="9"/>
    </row>
    <row r="154" customFormat="false" ht="15.75" hidden="true" customHeight="false" outlineLevel="0" collapsed="false">
      <c r="F154" s="9"/>
    </row>
    <row r="155" customFormat="false" ht="15.75" hidden="true" customHeight="false" outlineLevel="0" collapsed="false">
      <c r="F155" s="9"/>
    </row>
    <row r="156" customFormat="false" ht="15.75" hidden="true" customHeight="false" outlineLevel="0" collapsed="false">
      <c r="F156" s="9"/>
    </row>
    <row r="157" customFormat="false" ht="15.75" hidden="true" customHeight="false" outlineLevel="0" collapsed="false">
      <c r="F157" s="9"/>
    </row>
    <row r="158" customFormat="false" ht="15.75" hidden="true" customHeight="false" outlineLevel="0" collapsed="false">
      <c r="F158" s="9"/>
    </row>
    <row r="159" customFormat="false" ht="15.75" hidden="true" customHeight="false" outlineLevel="0" collapsed="false">
      <c r="F159" s="9"/>
    </row>
    <row r="160" customFormat="false" ht="15.75" hidden="true" customHeight="false" outlineLevel="0" collapsed="false">
      <c r="F160" s="9"/>
    </row>
    <row r="161" customFormat="false" ht="15.75" hidden="true" customHeight="false" outlineLevel="0" collapsed="false">
      <c r="F161" s="9"/>
    </row>
    <row r="162" customFormat="false" ht="15.75" hidden="true" customHeight="false" outlineLevel="0" collapsed="false">
      <c r="F162" s="9"/>
    </row>
    <row r="163" customFormat="false" ht="15.75" hidden="true" customHeight="false" outlineLevel="0" collapsed="false">
      <c r="F163" s="9"/>
    </row>
    <row r="164" customFormat="false" ht="15.75" hidden="true" customHeight="false" outlineLevel="0" collapsed="false">
      <c r="F164" s="9"/>
    </row>
    <row r="165" customFormat="false" ht="15.75" hidden="true" customHeight="false" outlineLevel="0" collapsed="false">
      <c r="F165" s="9"/>
    </row>
    <row r="166" customFormat="false" ht="15.75" hidden="true" customHeight="false" outlineLevel="0" collapsed="false">
      <c r="F166" s="9"/>
    </row>
    <row r="167" customFormat="false" ht="15.75" hidden="true" customHeight="false" outlineLevel="0" collapsed="false">
      <c r="F167" s="9"/>
    </row>
    <row r="168" customFormat="false" ht="15.75" hidden="true" customHeight="false" outlineLevel="0" collapsed="false">
      <c r="F168" s="9"/>
    </row>
    <row r="169" customFormat="false" ht="15.75" hidden="true" customHeight="false" outlineLevel="0" collapsed="false">
      <c r="F169" s="9"/>
    </row>
    <row r="170" customFormat="false" ht="15.75" hidden="true" customHeight="false" outlineLevel="0" collapsed="false">
      <c r="F170" s="9"/>
    </row>
    <row r="171" customFormat="false" ht="15.75" hidden="true" customHeight="false" outlineLevel="0" collapsed="false">
      <c r="F171" s="9"/>
    </row>
    <row r="172" customFormat="false" ht="15.75" hidden="true" customHeight="false" outlineLevel="0" collapsed="false">
      <c r="F172" s="9"/>
    </row>
    <row r="173" customFormat="false" ht="15.75" hidden="true" customHeight="false" outlineLevel="0" collapsed="false">
      <c r="F173" s="9"/>
    </row>
    <row r="174" customFormat="false" ht="15.75" hidden="true" customHeight="false" outlineLevel="0" collapsed="false">
      <c r="F174" s="9"/>
    </row>
    <row r="175" customFormat="false" ht="15.75" hidden="true" customHeight="false" outlineLevel="0" collapsed="false">
      <c r="F175" s="9"/>
    </row>
    <row r="176" customFormat="false" ht="15.75" hidden="true" customHeight="false" outlineLevel="0" collapsed="false">
      <c r="F176" s="9"/>
    </row>
    <row r="177" customFormat="false" ht="15.75" hidden="true" customHeight="false" outlineLevel="0" collapsed="false">
      <c r="F177" s="9"/>
    </row>
    <row r="178" customFormat="false" ht="15.75" hidden="true" customHeight="false" outlineLevel="0" collapsed="false">
      <c r="F178" s="9"/>
    </row>
    <row r="179" customFormat="false" ht="15.75" hidden="true" customHeight="false" outlineLevel="0" collapsed="false">
      <c r="F179" s="9"/>
    </row>
    <row r="180" customFormat="false" ht="15.75" hidden="true" customHeight="false" outlineLevel="0" collapsed="false">
      <c r="F180" s="9"/>
    </row>
    <row r="181" customFormat="false" ht="15.75" hidden="true" customHeight="false" outlineLevel="0" collapsed="false">
      <c r="F181" s="9"/>
    </row>
    <row r="182" customFormat="false" ht="15.75" hidden="true" customHeight="false" outlineLevel="0" collapsed="false">
      <c r="F182" s="9"/>
    </row>
    <row r="183" customFormat="false" ht="15.75" hidden="true" customHeight="false" outlineLevel="0" collapsed="false">
      <c r="F183" s="9"/>
    </row>
    <row r="184" customFormat="false" ht="15.75" hidden="true" customHeight="false" outlineLevel="0" collapsed="false">
      <c r="F184" s="9"/>
    </row>
    <row r="185" customFormat="false" ht="15.75" hidden="true" customHeight="false" outlineLevel="0" collapsed="false">
      <c r="F185" s="9"/>
    </row>
    <row r="186" customFormat="false" ht="15.75" hidden="true" customHeight="false" outlineLevel="0" collapsed="false">
      <c r="F186" s="9"/>
    </row>
    <row r="187" customFormat="false" ht="15.75" hidden="true" customHeight="false" outlineLevel="0" collapsed="false">
      <c r="F187" s="9"/>
    </row>
    <row r="188" customFormat="false" ht="15.75" hidden="true" customHeight="false" outlineLevel="0" collapsed="false">
      <c r="F188" s="9"/>
    </row>
    <row r="189" customFormat="false" ht="15.75" hidden="true" customHeight="false" outlineLevel="0" collapsed="false">
      <c r="F189" s="9"/>
    </row>
    <row r="190" customFormat="false" ht="15.75" hidden="true" customHeight="false" outlineLevel="0" collapsed="false">
      <c r="F190" s="9"/>
    </row>
    <row r="191" customFormat="false" ht="15.75" hidden="true" customHeight="false" outlineLevel="0" collapsed="false">
      <c r="F191" s="9"/>
    </row>
    <row r="192" customFormat="false" ht="15.75" hidden="true" customHeight="false" outlineLevel="0" collapsed="false">
      <c r="F192" s="9"/>
    </row>
    <row r="193" customFormat="false" ht="15.75" hidden="true" customHeight="false" outlineLevel="0" collapsed="false">
      <c r="F193" s="9"/>
    </row>
    <row r="194" customFormat="false" ht="15.75" hidden="true" customHeight="false" outlineLevel="0" collapsed="false">
      <c r="F194" s="9"/>
    </row>
    <row r="195" customFormat="false" ht="15.75" hidden="true" customHeight="false" outlineLevel="0" collapsed="false">
      <c r="F195" s="9"/>
    </row>
    <row r="196" customFormat="false" ht="15.75" hidden="true" customHeight="false" outlineLevel="0" collapsed="false">
      <c r="F196" s="9"/>
    </row>
    <row r="197" customFormat="false" ht="15.75" hidden="true" customHeight="false" outlineLevel="0" collapsed="false">
      <c r="F197" s="9"/>
    </row>
    <row r="198" customFormat="false" ht="15.75" hidden="true" customHeight="false" outlineLevel="0" collapsed="false">
      <c r="F198" s="9"/>
    </row>
    <row r="199" customFormat="false" ht="15.75" hidden="true" customHeight="false" outlineLevel="0" collapsed="false">
      <c r="F199" s="9"/>
    </row>
    <row r="200" customFormat="false" ht="15.75" hidden="true" customHeight="false" outlineLevel="0" collapsed="false">
      <c r="F200" s="9"/>
    </row>
    <row r="201" customFormat="false" ht="15.75" hidden="true" customHeight="false" outlineLevel="0" collapsed="false">
      <c r="F201" s="9"/>
    </row>
    <row r="202" customFormat="false" ht="15.75" hidden="true" customHeight="false" outlineLevel="0" collapsed="false">
      <c r="F202" s="9"/>
    </row>
    <row r="203" customFormat="false" ht="15.75" hidden="true" customHeight="false" outlineLevel="0" collapsed="false">
      <c r="F203" s="9"/>
    </row>
    <row r="204" customFormat="false" ht="15.75" hidden="true" customHeight="false" outlineLevel="0" collapsed="false">
      <c r="F204" s="9"/>
    </row>
    <row r="205" customFormat="false" ht="15.75" hidden="true" customHeight="false" outlineLevel="0" collapsed="false">
      <c r="F205" s="9"/>
    </row>
    <row r="206" customFormat="false" ht="15.75" hidden="true" customHeight="false" outlineLevel="0" collapsed="false">
      <c r="F206" s="9"/>
    </row>
    <row r="207" customFormat="false" ht="15.75" hidden="true" customHeight="false" outlineLevel="0" collapsed="false">
      <c r="F207" s="9"/>
    </row>
    <row r="208" customFormat="false" ht="15.75" hidden="true" customHeight="false" outlineLevel="0" collapsed="false">
      <c r="F208" s="9"/>
    </row>
    <row r="209" customFormat="false" ht="15.75" hidden="true" customHeight="false" outlineLevel="0" collapsed="false">
      <c r="F209" s="9"/>
    </row>
    <row r="210" customFormat="false" ht="15.75" hidden="true" customHeight="false" outlineLevel="0" collapsed="false">
      <c r="F210" s="9"/>
    </row>
    <row r="211" customFormat="false" ht="15.75" hidden="true" customHeight="false" outlineLevel="0" collapsed="false">
      <c r="F211" s="9"/>
    </row>
    <row r="212" customFormat="false" ht="15.75" hidden="true" customHeight="false" outlineLevel="0" collapsed="false">
      <c r="F212" s="9"/>
    </row>
    <row r="213" customFormat="false" ht="15.75" hidden="true" customHeight="false" outlineLevel="0" collapsed="false">
      <c r="F213" s="9"/>
    </row>
    <row r="214" customFormat="false" ht="15.75" hidden="true" customHeight="false" outlineLevel="0" collapsed="false">
      <c r="F214" s="9"/>
    </row>
    <row r="215" customFormat="false" ht="15.75" hidden="true" customHeight="false" outlineLevel="0" collapsed="false">
      <c r="F215" s="9"/>
    </row>
    <row r="216" customFormat="false" ht="15.75" hidden="true" customHeight="false" outlineLevel="0" collapsed="false">
      <c r="F216" s="9"/>
    </row>
    <row r="217" customFormat="false" ht="15.75" hidden="true" customHeight="false" outlineLevel="0" collapsed="false">
      <c r="F217" s="9"/>
    </row>
    <row r="218" customFormat="false" ht="15.75" hidden="true" customHeight="false" outlineLevel="0" collapsed="false">
      <c r="F218" s="9"/>
    </row>
    <row r="219" customFormat="false" ht="15.75" hidden="true" customHeight="false" outlineLevel="0" collapsed="false">
      <c r="F219" s="9"/>
    </row>
    <row r="220" customFormat="false" ht="15.75" hidden="true" customHeight="false" outlineLevel="0" collapsed="false">
      <c r="F220" s="9"/>
    </row>
    <row r="221" customFormat="false" ht="15.75" hidden="true" customHeight="false" outlineLevel="0" collapsed="false">
      <c r="F221" s="9"/>
    </row>
    <row r="222" customFormat="false" ht="15.75" hidden="true" customHeight="false" outlineLevel="0" collapsed="false">
      <c r="F222" s="9"/>
    </row>
    <row r="223" customFormat="false" ht="15.75" hidden="true" customHeight="false" outlineLevel="0" collapsed="false">
      <c r="F223" s="9"/>
    </row>
    <row r="224" customFormat="false" ht="15.75" hidden="true" customHeight="false" outlineLevel="0" collapsed="false">
      <c r="F224" s="9"/>
    </row>
    <row r="225" customFormat="false" ht="15.75" hidden="true" customHeight="false" outlineLevel="0" collapsed="false">
      <c r="F225" s="9"/>
    </row>
    <row r="226" customFormat="false" ht="15.75" hidden="true" customHeight="false" outlineLevel="0" collapsed="false">
      <c r="F226" s="9"/>
    </row>
    <row r="227" customFormat="false" ht="15.75" hidden="true" customHeight="false" outlineLevel="0" collapsed="false">
      <c r="F227" s="9"/>
    </row>
    <row r="228" customFormat="false" ht="15.75" hidden="true" customHeight="false" outlineLevel="0" collapsed="false">
      <c r="F228" s="9"/>
    </row>
    <row r="229" customFormat="false" ht="15.75" hidden="true" customHeight="false" outlineLevel="0" collapsed="false">
      <c r="F229" s="9"/>
    </row>
    <row r="230" customFormat="false" ht="15.75" hidden="true" customHeight="false" outlineLevel="0" collapsed="false">
      <c r="F230" s="9"/>
    </row>
    <row r="231" customFormat="false" ht="15.75" hidden="true" customHeight="false" outlineLevel="0" collapsed="false">
      <c r="F231" s="9"/>
    </row>
    <row r="232" customFormat="false" ht="15.75" hidden="true" customHeight="false" outlineLevel="0" collapsed="false">
      <c r="F232" s="9"/>
    </row>
    <row r="233" customFormat="false" ht="15.75" hidden="true" customHeight="false" outlineLevel="0" collapsed="false">
      <c r="F233" s="9"/>
    </row>
    <row r="234" customFormat="false" ht="15.75" hidden="true" customHeight="false" outlineLevel="0" collapsed="false">
      <c r="F234" s="9"/>
    </row>
    <row r="235" customFormat="false" ht="15.75" hidden="true" customHeight="false" outlineLevel="0" collapsed="false">
      <c r="F235" s="9"/>
    </row>
    <row r="236" customFormat="false" ht="15.75" hidden="true" customHeight="false" outlineLevel="0" collapsed="false">
      <c r="F236" s="9"/>
    </row>
    <row r="237" customFormat="false" ht="15.75" hidden="true" customHeight="false" outlineLevel="0" collapsed="false">
      <c r="F237" s="9"/>
    </row>
    <row r="238" customFormat="false" ht="15.75" hidden="true" customHeight="false" outlineLevel="0" collapsed="false">
      <c r="F238" s="9"/>
    </row>
    <row r="239" customFormat="false" ht="15.75" hidden="true" customHeight="false" outlineLevel="0" collapsed="false">
      <c r="F239" s="9"/>
    </row>
    <row r="240" customFormat="false" ht="15.75" hidden="true" customHeight="false" outlineLevel="0" collapsed="false">
      <c r="F240" s="9"/>
    </row>
    <row r="241" customFormat="false" ht="15.75" hidden="true" customHeight="false" outlineLevel="0" collapsed="false">
      <c r="F241" s="9"/>
    </row>
    <row r="242" customFormat="false" ht="15.75" hidden="true" customHeight="false" outlineLevel="0" collapsed="false">
      <c r="F242" s="9"/>
    </row>
    <row r="243" customFormat="false" ht="15.75" hidden="true" customHeight="false" outlineLevel="0" collapsed="false">
      <c r="F243" s="9"/>
    </row>
    <row r="244" customFormat="false" ht="15.75" hidden="true" customHeight="false" outlineLevel="0" collapsed="false">
      <c r="F244" s="9"/>
    </row>
    <row r="245" customFormat="false" ht="15.75" hidden="true" customHeight="false" outlineLevel="0" collapsed="false">
      <c r="F245" s="9"/>
    </row>
    <row r="246" customFormat="false" ht="15.75" hidden="true" customHeight="false" outlineLevel="0" collapsed="false">
      <c r="F246" s="9"/>
    </row>
    <row r="247" customFormat="false" ht="15.75" hidden="true" customHeight="false" outlineLevel="0" collapsed="false">
      <c r="F247" s="9"/>
    </row>
    <row r="248" customFormat="false" ht="15.75" hidden="true" customHeight="false" outlineLevel="0" collapsed="false">
      <c r="F248" s="9"/>
    </row>
    <row r="249" customFormat="false" ht="15.75" hidden="true" customHeight="false" outlineLevel="0" collapsed="false">
      <c r="F249" s="9"/>
    </row>
    <row r="250" customFormat="false" ht="15.75" hidden="true" customHeight="false" outlineLevel="0" collapsed="false">
      <c r="F250" s="9"/>
    </row>
    <row r="251" customFormat="false" ht="15.75" hidden="true" customHeight="false" outlineLevel="0" collapsed="false">
      <c r="F251" s="9"/>
    </row>
    <row r="252" customFormat="false" ht="15.75" hidden="true" customHeight="false" outlineLevel="0" collapsed="false">
      <c r="F252" s="9"/>
    </row>
    <row r="253" customFormat="false" ht="15.75" hidden="true" customHeight="false" outlineLevel="0" collapsed="false">
      <c r="F253" s="9"/>
    </row>
    <row r="254" customFormat="false" ht="15.75" hidden="true" customHeight="false" outlineLevel="0" collapsed="false">
      <c r="F254" s="9"/>
    </row>
    <row r="255" customFormat="false" ht="15.75" hidden="true" customHeight="false" outlineLevel="0" collapsed="false">
      <c r="F255" s="9"/>
    </row>
    <row r="256" customFormat="false" ht="15.75" hidden="true" customHeight="false" outlineLevel="0" collapsed="false">
      <c r="F256" s="9"/>
    </row>
    <row r="257" customFormat="false" ht="15.75" hidden="true" customHeight="false" outlineLevel="0" collapsed="false">
      <c r="F257" s="9"/>
    </row>
    <row r="258" customFormat="false" ht="15.75" hidden="true" customHeight="false" outlineLevel="0" collapsed="false">
      <c r="F258" s="9"/>
    </row>
    <row r="259" customFormat="false" ht="15.75" hidden="true" customHeight="false" outlineLevel="0" collapsed="false">
      <c r="F259" s="9"/>
    </row>
    <row r="260" customFormat="false" ht="15.75" hidden="true" customHeight="false" outlineLevel="0" collapsed="false">
      <c r="F260" s="9"/>
    </row>
    <row r="261" customFormat="false" ht="15.75" hidden="true" customHeight="false" outlineLevel="0" collapsed="false">
      <c r="F261" s="9"/>
    </row>
    <row r="262" customFormat="false" ht="15.75" hidden="true" customHeight="false" outlineLevel="0" collapsed="false">
      <c r="F262" s="9"/>
    </row>
    <row r="263" customFormat="false" ht="15.75" hidden="true" customHeight="false" outlineLevel="0" collapsed="false">
      <c r="F263" s="9"/>
    </row>
    <row r="264" customFormat="false" ht="15.75" hidden="true" customHeight="false" outlineLevel="0" collapsed="false">
      <c r="F264" s="9"/>
    </row>
    <row r="265" customFormat="false" ht="15.75" hidden="true" customHeight="false" outlineLevel="0" collapsed="false">
      <c r="F265" s="9"/>
    </row>
    <row r="266" customFormat="false" ht="15.75" hidden="true" customHeight="false" outlineLevel="0" collapsed="false">
      <c r="F266" s="9"/>
    </row>
    <row r="267" customFormat="false" ht="15.75" hidden="true" customHeight="false" outlineLevel="0" collapsed="false">
      <c r="F267" s="9"/>
    </row>
    <row r="268" customFormat="false" ht="15.75" hidden="true" customHeight="false" outlineLevel="0" collapsed="false">
      <c r="F268" s="9"/>
    </row>
    <row r="269" customFormat="false" ht="15.75" hidden="true" customHeight="false" outlineLevel="0" collapsed="false">
      <c r="F269" s="9"/>
    </row>
    <row r="270" customFormat="false" ht="15.75" hidden="true" customHeight="false" outlineLevel="0" collapsed="false">
      <c r="F270" s="9"/>
    </row>
    <row r="271" customFormat="false" ht="15.75" hidden="true" customHeight="false" outlineLevel="0" collapsed="false">
      <c r="F271" s="9"/>
    </row>
    <row r="272" customFormat="false" ht="15.75" hidden="true" customHeight="false" outlineLevel="0" collapsed="false">
      <c r="F272" s="9"/>
    </row>
    <row r="273" customFormat="false" ht="15.75" hidden="true" customHeight="false" outlineLevel="0" collapsed="false">
      <c r="F273" s="9"/>
    </row>
    <row r="274" customFormat="false" ht="15.75" hidden="true" customHeight="false" outlineLevel="0" collapsed="false">
      <c r="F274" s="9"/>
    </row>
    <row r="275" customFormat="false" ht="15.75" hidden="true" customHeight="false" outlineLevel="0" collapsed="false">
      <c r="F275" s="9"/>
    </row>
    <row r="276" customFormat="false" ht="15.75" hidden="true" customHeight="false" outlineLevel="0" collapsed="false">
      <c r="F276" s="9"/>
    </row>
    <row r="277" customFormat="false" ht="15.75" hidden="true" customHeight="false" outlineLevel="0" collapsed="false">
      <c r="F277" s="9"/>
    </row>
    <row r="278" customFormat="false" ht="15.75" hidden="true" customHeight="false" outlineLevel="0" collapsed="false">
      <c r="F278" s="9"/>
    </row>
    <row r="279" customFormat="false" ht="15.75" hidden="true" customHeight="false" outlineLevel="0" collapsed="false">
      <c r="F279" s="9"/>
    </row>
    <row r="280" customFormat="false" ht="15.75" hidden="true" customHeight="false" outlineLevel="0" collapsed="false">
      <c r="F280" s="9"/>
    </row>
    <row r="281" customFormat="false" ht="15.75" hidden="true" customHeight="false" outlineLevel="0" collapsed="false">
      <c r="F281" s="9"/>
    </row>
    <row r="282" customFormat="false" ht="15.75" hidden="true" customHeight="false" outlineLevel="0" collapsed="false">
      <c r="F282" s="9"/>
    </row>
    <row r="283" customFormat="false" ht="15.75" hidden="true" customHeight="false" outlineLevel="0" collapsed="false">
      <c r="F283" s="9"/>
    </row>
    <row r="284" customFormat="false" ht="15.75" hidden="true" customHeight="false" outlineLevel="0" collapsed="false">
      <c r="F284" s="9"/>
    </row>
    <row r="285" customFormat="false" ht="15.75" hidden="true" customHeight="false" outlineLevel="0" collapsed="false">
      <c r="F285" s="9"/>
    </row>
    <row r="286" customFormat="false" ht="15.75" hidden="true" customHeight="false" outlineLevel="0" collapsed="false">
      <c r="F286" s="9"/>
    </row>
    <row r="287" customFormat="false" ht="15.75" hidden="true" customHeight="false" outlineLevel="0" collapsed="false">
      <c r="F287" s="9"/>
    </row>
    <row r="288" customFormat="false" ht="15.75" hidden="true" customHeight="false" outlineLevel="0" collapsed="false">
      <c r="F288" s="9"/>
    </row>
    <row r="289" customFormat="false" ht="15.75" hidden="true" customHeight="false" outlineLevel="0" collapsed="false">
      <c r="F289" s="9"/>
    </row>
    <row r="290" customFormat="false" ht="15.75" hidden="true" customHeight="false" outlineLevel="0" collapsed="false">
      <c r="F290" s="9"/>
    </row>
    <row r="291" customFormat="false" ht="15.75" hidden="true" customHeight="false" outlineLevel="0" collapsed="false">
      <c r="F291" s="9"/>
    </row>
    <row r="292" customFormat="false" ht="15.75" hidden="true" customHeight="false" outlineLevel="0" collapsed="false">
      <c r="F292" s="9"/>
    </row>
    <row r="293" customFormat="false" ht="15.75" hidden="true" customHeight="false" outlineLevel="0" collapsed="false">
      <c r="F293" s="9"/>
    </row>
    <row r="294" customFormat="false" ht="15.75" hidden="true" customHeight="false" outlineLevel="0" collapsed="false">
      <c r="F294" s="9"/>
    </row>
    <row r="295" customFormat="false" ht="15.75" hidden="true" customHeight="false" outlineLevel="0" collapsed="false">
      <c r="F295" s="9"/>
    </row>
    <row r="296" customFormat="false" ht="15.75" hidden="true" customHeight="false" outlineLevel="0" collapsed="false">
      <c r="F296" s="9"/>
    </row>
    <row r="297" customFormat="false" ht="15.75" hidden="true" customHeight="false" outlineLevel="0" collapsed="false">
      <c r="F297" s="9"/>
    </row>
    <row r="298" customFormat="false" ht="15.75" hidden="true" customHeight="false" outlineLevel="0" collapsed="false">
      <c r="F298" s="9"/>
    </row>
    <row r="299" customFormat="false" ht="15.75" hidden="true" customHeight="false" outlineLevel="0" collapsed="false">
      <c r="F299" s="9"/>
    </row>
    <row r="300" customFormat="false" ht="15.75" hidden="true" customHeight="false" outlineLevel="0" collapsed="false">
      <c r="F300" s="9"/>
    </row>
    <row r="301" customFormat="false" ht="15.75" hidden="true" customHeight="false" outlineLevel="0" collapsed="false">
      <c r="F301" s="9"/>
    </row>
    <row r="302" customFormat="false" ht="15.75" hidden="true" customHeight="false" outlineLevel="0" collapsed="false">
      <c r="F302" s="9"/>
    </row>
    <row r="303" customFormat="false" ht="15.75" hidden="true" customHeight="false" outlineLevel="0" collapsed="false">
      <c r="F303" s="9"/>
    </row>
    <row r="304" customFormat="false" ht="15.75" hidden="true" customHeight="false" outlineLevel="0" collapsed="false">
      <c r="F304" s="9"/>
    </row>
    <row r="305" customFormat="false" ht="15.75" hidden="true" customHeight="false" outlineLevel="0" collapsed="false">
      <c r="F305" s="9"/>
    </row>
    <row r="306" customFormat="false" ht="15.75" hidden="true" customHeight="false" outlineLevel="0" collapsed="false">
      <c r="F306" s="9"/>
    </row>
    <row r="307" customFormat="false" ht="15.75" hidden="true" customHeight="false" outlineLevel="0" collapsed="false">
      <c r="F307" s="9"/>
    </row>
    <row r="308" customFormat="false" ht="15.75" hidden="true" customHeight="false" outlineLevel="0" collapsed="false">
      <c r="F308" s="9"/>
    </row>
    <row r="309" customFormat="false" ht="15.75" hidden="true" customHeight="false" outlineLevel="0" collapsed="false">
      <c r="F309" s="9"/>
    </row>
    <row r="310" customFormat="false" ht="15.75" hidden="true" customHeight="false" outlineLevel="0" collapsed="false">
      <c r="F310" s="9"/>
    </row>
    <row r="311" customFormat="false" ht="15.75" hidden="true" customHeight="false" outlineLevel="0" collapsed="false">
      <c r="F311" s="9"/>
    </row>
    <row r="312" customFormat="false" ht="15.75" hidden="true" customHeight="false" outlineLevel="0" collapsed="false">
      <c r="F312" s="9"/>
    </row>
    <row r="313" customFormat="false" ht="15.75" hidden="true" customHeight="false" outlineLevel="0" collapsed="false">
      <c r="F313" s="9"/>
    </row>
    <row r="314" customFormat="false" ht="15.75" hidden="true" customHeight="false" outlineLevel="0" collapsed="false">
      <c r="F314" s="9"/>
    </row>
    <row r="315" customFormat="false" ht="15.75" hidden="true" customHeight="false" outlineLevel="0" collapsed="false">
      <c r="F315" s="9"/>
    </row>
    <row r="316" customFormat="false" ht="15.75" hidden="true" customHeight="false" outlineLevel="0" collapsed="false">
      <c r="F316" s="9"/>
    </row>
    <row r="317" customFormat="false" ht="15.75" hidden="true" customHeight="false" outlineLevel="0" collapsed="false">
      <c r="F317" s="9"/>
    </row>
    <row r="318" customFormat="false" ht="15.75" hidden="true" customHeight="false" outlineLevel="0" collapsed="false">
      <c r="F318" s="9"/>
    </row>
    <row r="319" customFormat="false" ht="15.75" hidden="true" customHeight="false" outlineLevel="0" collapsed="false">
      <c r="F319" s="9"/>
    </row>
    <row r="320" customFormat="false" ht="15.75" hidden="true" customHeight="false" outlineLevel="0" collapsed="false">
      <c r="F320" s="9"/>
    </row>
    <row r="321" customFormat="false" ht="15.75" hidden="true" customHeight="false" outlineLevel="0" collapsed="false">
      <c r="F321" s="9"/>
    </row>
    <row r="322" customFormat="false" ht="15.75" hidden="true" customHeight="false" outlineLevel="0" collapsed="false">
      <c r="F322" s="9"/>
    </row>
    <row r="323" customFormat="false" ht="15.75" hidden="true" customHeight="false" outlineLevel="0" collapsed="false">
      <c r="F323" s="9"/>
    </row>
    <row r="324" customFormat="false" ht="15.75" hidden="true" customHeight="false" outlineLevel="0" collapsed="false">
      <c r="F324" s="9"/>
    </row>
    <row r="325" customFormat="false" ht="15.75" hidden="true" customHeight="false" outlineLevel="0" collapsed="false">
      <c r="F325" s="9"/>
    </row>
    <row r="326" customFormat="false" ht="15.75" hidden="true" customHeight="false" outlineLevel="0" collapsed="false">
      <c r="F326" s="9"/>
    </row>
    <row r="327" customFormat="false" ht="15.75" hidden="true" customHeight="false" outlineLevel="0" collapsed="false">
      <c r="F327" s="9"/>
    </row>
    <row r="328" customFormat="false" ht="15.75" hidden="true" customHeight="false" outlineLevel="0" collapsed="false">
      <c r="F328" s="9"/>
    </row>
    <row r="329" customFormat="false" ht="15.75" hidden="true" customHeight="false" outlineLevel="0" collapsed="false">
      <c r="F329" s="9"/>
    </row>
    <row r="330" customFormat="false" ht="15.75" hidden="true" customHeight="false" outlineLevel="0" collapsed="false">
      <c r="F330" s="9"/>
    </row>
    <row r="331" customFormat="false" ht="15.75" hidden="true" customHeight="false" outlineLevel="0" collapsed="false">
      <c r="F331" s="9"/>
    </row>
    <row r="332" customFormat="false" ht="15.75" hidden="true" customHeight="false" outlineLevel="0" collapsed="false">
      <c r="F332" s="9"/>
    </row>
    <row r="333" customFormat="false" ht="15.75" hidden="true" customHeight="false" outlineLevel="0" collapsed="false">
      <c r="F333" s="9"/>
    </row>
    <row r="334" customFormat="false" ht="15.75" hidden="true" customHeight="false" outlineLevel="0" collapsed="false">
      <c r="F334" s="9"/>
    </row>
    <row r="335" customFormat="false" ht="15.75" hidden="true" customHeight="false" outlineLevel="0" collapsed="false">
      <c r="F335" s="9"/>
    </row>
    <row r="336" customFormat="false" ht="15.75" hidden="true" customHeight="false" outlineLevel="0" collapsed="false">
      <c r="F336" s="9"/>
    </row>
    <row r="337" customFormat="false" ht="15.75" hidden="true" customHeight="false" outlineLevel="0" collapsed="false">
      <c r="F337" s="9"/>
    </row>
    <row r="338" customFormat="false" ht="15.75" hidden="true" customHeight="false" outlineLevel="0" collapsed="false">
      <c r="F338" s="9"/>
    </row>
    <row r="339" customFormat="false" ht="15.75" hidden="true" customHeight="false" outlineLevel="0" collapsed="false">
      <c r="F339" s="9"/>
    </row>
    <row r="340" customFormat="false" ht="15.75" hidden="true" customHeight="false" outlineLevel="0" collapsed="false">
      <c r="F340" s="9"/>
    </row>
    <row r="341" customFormat="false" ht="15.75" hidden="true" customHeight="false" outlineLevel="0" collapsed="false">
      <c r="F341" s="9"/>
    </row>
    <row r="342" customFormat="false" ht="15.75" hidden="true" customHeight="false" outlineLevel="0" collapsed="false">
      <c r="F342" s="9"/>
    </row>
    <row r="343" customFormat="false" ht="15.75" hidden="true" customHeight="false" outlineLevel="0" collapsed="false">
      <c r="F343" s="9"/>
    </row>
    <row r="344" customFormat="false" ht="15.75" hidden="true" customHeight="false" outlineLevel="0" collapsed="false">
      <c r="F344" s="9"/>
    </row>
    <row r="345" customFormat="false" ht="15.75" hidden="true" customHeight="false" outlineLevel="0" collapsed="false">
      <c r="F345" s="9"/>
    </row>
    <row r="346" customFormat="false" ht="15.75" hidden="true" customHeight="false" outlineLevel="0" collapsed="false">
      <c r="F346" s="9"/>
    </row>
    <row r="347" customFormat="false" ht="15.75" hidden="true" customHeight="false" outlineLevel="0" collapsed="false">
      <c r="F347" s="9"/>
    </row>
    <row r="348" customFormat="false" ht="15.75" hidden="true" customHeight="false" outlineLevel="0" collapsed="false">
      <c r="F348" s="9"/>
    </row>
    <row r="349" customFormat="false" ht="15.75" hidden="true" customHeight="false" outlineLevel="0" collapsed="false">
      <c r="F349" s="9"/>
    </row>
    <row r="350" customFormat="false" ht="15.75" hidden="true" customHeight="false" outlineLevel="0" collapsed="false">
      <c r="F350" s="9"/>
    </row>
    <row r="351" customFormat="false" ht="15.75" hidden="true" customHeight="false" outlineLevel="0" collapsed="false">
      <c r="F351" s="9"/>
    </row>
    <row r="352" customFormat="false" ht="15.75" hidden="true" customHeight="false" outlineLevel="0" collapsed="false">
      <c r="F352" s="9"/>
    </row>
    <row r="353" customFormat="false" ht="15.75" hidden="true" customHeight="false" outlineLevel="0" collapsed="false">
      <c r="F353" s="9"/>
    </row>
    <row r="354" customFormat="false" ht="15.75" hidden="true" customHeight="false" outlineLevel="0" collapsed="false">
      <c r="F354" s="9"/>
    </row>
    <row r="355" customFormat="false" ht="15.75" hidden="true" customHeight="false" outlineLevel="0" collapsed="false">
      <c r="F355" s="9"/>
    </row>
    <row r="356" customFormat="false" ht="15.75" hidden="true" customHeight="false" outlineLevel="0" collapsed="false">
      <c r="F356" s="9"/>
    </row>
    <row r="357" customFormat="false" ht="15.75" hidden="true" customHeight="false" outlineLevel="0" collapsed="false">
      <c r="F357" s="9"/>
    </row>
    <row r="358" customFormat="false" ht="15.75" hidden="true" customHeight="false" outlineLevel="0" collapsed="false">
      <c r="F358" s="9"/>
    </row>
    <row r="359" customFormat="false" ht="15.75" hidden="true" customHeight="false" outlineLevel="0" collapsed="false">
      <c r="F359" s="9"/>
    </row>
    <row r="360" customFormat="false" ht="15.75" hidden="true" customHeight="false" outlineLevel="0" collapsed="false">
      <c r="F360" s="9"/>
    </row>
    <row r="361" customFormat="false" ht="15.75" hidden="true" customHeight="false" outlineLevel="0" collapsed="false">
      <c r="F361" s="9"/>
    </row>
    <row r="362" customFormat="false" ht="15.75" hidden="true" customHeight="false" outlineLevel="0" collapsed="false">
      <c r="F362" s="9"/>
    </row>
    <row r="363" customFormat="false" ht="15.75" hidden="true" customHeight="false" outlineLevel="0" collapsed="false">
      <c r="F363" s="9"/>
    </row>
    <row r="364" customFormat="false" ht="15.75" hidden="true" customHeight="false" outlineLevel="0" collapsed="false">
      <c r="F364" s="9"/>
    </row>
    <row r="365" customFormat="false" ht="15.75" hidden="true" customHeight="false" outlineLevel="0" collapsed="false">
      <c r="F365" s="9"/>
    </row>
    <row r="366" customFormat="false" ht="15.75" hidden="true" customHeight="false" outlineLevel="0" collapsed="false">
      <c r="F366" s="9"/>
    </row>
    <row r="367" customFormat="false" ht="15.75" hidden="true" customHeight="false" outlineLevel="0" collapsed="false">
      <c r="F367" s="9"/>
    </row>
    <row r="368" customFormat="false" ht="15.75" hidden="true" customHeight="false" outlineLevel="0" collapsed="false">
      <c r="F368" s="9"/>
    </row>
    <row r="369" customFormat="false" ht="15.75" hidden="true" customHeight="false" outlineLevel="0" collapsed="false">
      <c r="F369" s="9"/>
    </row>
    <row r="370" customFormat="false" ht="15.75" hidden="true" customHeight="false" outlineLevel="0" collapsed="false">
      <c r="F370" s="9"/>
    </row>
    <row r="371" customFormat="false" ht="15.75" hidden="true" customHeight="false" outlineLevel="0" collapsed="false">
      <c r="F371" s="9"/>
    </row>
    <row r="372" customFormat="false" ht="15.75" hidden="true" customHeight="false" outlineLevel="0" collapsed="false">
      <c r="F372" s="9"/>
    </row>
    <row r="373" customFormat="false" ht="15.75" hidden="true" customHeight="false" outlineLevel="0" collapsed="false">
      <c r="F373" s="9"/>
    </row>
    <row r="374" customFormat="false" ht="15.75" hidden="true" customHeight="false" outlineLevel="0" collapsed="false">
      <c r="F374" s="9"/>
    </row>
    <row r="375" customFormat="false" ht="15.75" hidden="true" customHeight="false" outlineLevel="0" collapsed="false">
      <c r="F375" s="9"/>
    </row>
    <row r="376" customFormat="false" ht="15.75" hidden="true" customHeight="false" outlineLevel="0" collapsed="false">
      <c r="F376" s="9"/>
    </row>
    <row r="377" customFormat="false" ht="15.75" hidden="true" customHeight="false" outlineLevel="0" collapsed="false">
      <c r="F377" s="9"/>
    </row>
    <row r="378" customFormat="false" ht="15.75" hidden="true" customHeight="false" outlineLevel="0" collapsed="false">
      <c r="F378" s="9"/>
    </row>
    <row r="379" customFormat="false" ht="15.75" hidden="true" customHeight="false" outlineLevel="0" collapsed="false">
      <c r="F379" s="9"/>
    </row>
    <row r="380" customFormat="false" ht="15.75" hidden="true" customHeight="false" outlineLevel="0" collapsed="false">
      <c r="F380" s="9"/>
    </row>
    <row r="381" customFormat="false" ht="15.75" hidden="true" customHeight="false" outlineLevel="0" collapsed="false">
      <c r="F381" s="9"/>
    </row>
    <row r="382" customFormat="false" ht="15.75" hidden="true" customHeight="false" outlineLevel="0" collapsed="false">
      <c r="F382" s="9"/>
    </row>
    <row r="383" customFormat="false" ht="15.75" hidden="true" customHeight="false" outlineLevel="0" collapsed="false">
      <c r="F383" s="9"/>
    </row>
    <row r="384" customFormat="false" ht="15.75" hidden="true" customHeight="false" outlineLevel="0" collapsed="false">
      <c r="F384" s="9"/>
    </row>
    <row r="385" customFormat="false" ht="15.75" hidden="true" customHeight="false" outlineLevel="0" collapsed="false">
      <c r="F385" s="9"/>
    </row>
    <row r="386" customFormat="false" ht="15.75" hidden="true" customHeight="false" outlineLevel="0" collapsed="false">
      <c r="F386" s="9"/>
    </row>
    <row r="387" customFormat="false" ht="15.75" hidden="true" customHeight="false" outlineLevel="0" collapsed="false">
      <c r="F387" s="9"/>
    </row>
    <row r="388" customFormat="false" ht="15.75" hidden="true" customHeight="false" outlineLevel="0" collapsed="false">
      <c r="F388" s="9"/>
    </row>
    <row r="389" customFormat="false" ht="15.75" hidden="true" customHeight="false" outlineLevel="0" collapsed="false">
      <c r="F389" s="9"/>
    </row>
    <row r="390" customFormat="false" ht="15.75" hidden="true" customHeight="false" outlineLevel="0" collapsed="false">
      <c r="F390" s="9"/>
    </row>
    <row r="391" customFormat="false" ht="15.75" hidden="true" customHeight="false" outlineLevel="0" collapsed="false">
      <c r="F391" s="9"/>
    </row>
    <row r="392" customFormat="false" ht="15.75" hidden="true" customHeight="false" outlineLevel="0" collapsed="false">
      <c r="F392" s="9"/>
    </row>
    <row r="393" customFormat="false" ht="15.75" hidden="true" customHeight="false" outlineLevel="0" collapsed="false">
      <c r="F393" s="9"/>
    </row>
    <row r="394" customFormat="false" ht="15.75" hidden="true" customHeight="false" outlineLevel="0" collapsed="false">
      <c r="F394" s="9"/>
    </row>
    <row r="395" customFormat="false" ht="15.75" hidden="true" customHeight="false" outlineLevel="0" collapsed="false">
      <c r="F395" s="9"/>
    </row>
    <row r="396" customFormat="false" ht="15.75" hidden="true" customHeight="false" outlineLevel="0" collapsed="false">
      <c r="F396" s="9"/>
    </row>
    <row r="397" customFormat="false" ht="15.75" hidden="true" customHeight="false" outlineLevel="0" collapsed="false">
      <c r="F397" s="9"/>
    </row>
    <row r="398" customFormat="false" ht="15.75" hidden="true" customHeight="false" outlineLevel="0" collapsed="false">
      <c r="F398" s="9"/>
    </row>
    <row r="399" customFormat="false" ht="15.75" hidden="true" customHeight="false" outlineLevel="0" collapsed="false">
      <c r="F399" s="9"/>
    </row>
    <row r="400" customFormat="false" ht="15.75" hidden="true" customHeight="false" outlineLevel="0" collapsed="false">
      <c r="F400" s="9"/>
    </row>
    <row r="401" customFormat="false" ht="15.75" hidden="true" customHeight="false" outlineLevel="0" collapsed="false">
      <c r="F401" s="9"/>
    </row>
    <row r="402" customFormat="false" ht="15.75" hidden="true" customHeight="false" outlineLevel="0" collapsed="false">
      <c r="F402" s="9"/>
    </row>
    <row r="403" customFormat="false" ht="15.75" hidden="true" customHeight="false" outlineLevel="0" collapsed="false">
      <c r="F403" s="9"/>
    </row>
    <row r="404" customFormat="false" ht="15.75" hidden="true" customHeight="false" outlineLevel="0" collapsed="false">
      <c r="F404" s="9"/>
    </row>
    <row r="405" customFormat="false" ht="15.75" hidden="true" customHeight="false" outlineLevel="0" collapsed="false">
      <c r="F405" s="9"/>
    </row>
    <row r="406" customFormat="false" ht="15.75" hidden="true" customHeight="false" outlineLevel="0" collapsed="false">
      <c r="F406" s="9"/>
    </row>
    <row r="407" customFormat="false" ht="15.75" hidden="true" customHeight="false" outlineLevel="0" collapsed="false">
      <c r="F407" s="9"/>
    </row>
    <row r="408" customFormat="false" ht="15.75" hidden="true" customHeight="false" outlineLevel="0" collapsed="false">
      <c r="F408" s="9"/>
    </row>
    <row r="409" customFormat="false" ht="15.75" hidden="true" customHeight="false" outlineLevel="0" collapsed="false">
      <c r="F409" s="9"/>
    </row>
    <row r="410" customFormat="false" ht="15.75" hidden="true" customHeight="false" outlineLevel="0" collapsed="false">
      <c r="F410" s="9"/>
    </row>
    <row r="411" customFormat="false" ht="15.75" hidden="true" customHeight="false" outlineLevel="0" collapsed="false">
      <c r="F411" s="9"/>
    </row>
    <row r="412" customFormat="false" ht="15.75" hidden="true" customHeight="false" outlineLevel="0" collapsed="false">
      <c r="F412" s="9"/>
    </row>
    <row r="413" customFormat="false" ht="15.75" hidden="true" customHeight="false" outlineLevel="0" collapsed="false">
      <c r="F413" s="9"/>
    </row>
    <row r="414" customFormat="false" ht="15.75" hidden="true" customHeight="false" outlineLevel="0" collapsed="false">
      <c r="F414" s="9"/>
    </row>
    <row r="415" customFormat="false" ht="15.75" hidden="true" customHeight="false" outlineLevel="0" collapsed="false">
      <c r="F415" s="9"/>
    </row>
    <row r="416" customFormat="false" ht="15.75" hidden="true" customHeight="false" outlineLevel="0" collapsed="false">
      <c r="F416" s="9"/>
    </row>
    <row r="417" customFormat="false" ht="15.75" hidden="true" customHeight="false" outlineLevel="0" collapsed="false">
      <c r="F417" s="9"/>
    </row>
    <row r="418" customFormat="false" ht="15.75" hidden="true" customHeight="false" outlineLevel="0" collapsed="false">
      <c r="F418" s="9"/>
    </row>
    <row r="419" customFormat="false" ht="15.75" hidden="true" customHeight="false" outlineLevel="0" collapsed="false">
      <c r="F419" s="9"/>
    </row>
    <row r="420" customFormat="false" ht="15.75" hidden="true" customHeight="false" outlineLevel="0" collapsed="false">
      <c r="F420" s="9"/>
    </row>
    <row r="421" customFormat="false" ht="15.75" hidden="true" customHeight="false" outlineLevel="0" collapsed="false">
      <c r="F421" s="9"/>
    </row>
    <row r="422" customFormat="false" ht="15.75" hidden="true" customHeight="false" outlineLevel="0" collapsed="false">
      <c r="F422" s="9"/>
    </row>
    <row r="423" customFormat="false" ht="15.75" hidden="true" customHeight="false" outlineLevel="0" collapsed="false">
      <c r="F423" s="9"/>
    </row>
    <row r="424" customFormat="false" ht="15.75" hidden="true" customHeight="false" outlineLevel="0" collapsed="false">
      <c r="F424" s="9"/>
    </row>
    <row r="425" customFormat="false" ht="15.75" hidden="true" customHeight="false" outlineLevel="0" collapsed="false">
      <c r="F425" s="9"/>
    </row>
    <row r="426" customFormat="false" ht="15.75" hidden="true" customHeight="false" outlineLevel="0" collapsed="false">
      <c r="F426" s="9"/>
    </row>
    <row r="427" customFormat="false" ht="15.75" hidden="true" customHeight="false" outlineLevel="0" collapsed="false">
      <c r="F427" s="9"/>
    </row>
    <row r="428" customFormat="false" ht="15.75" hidden="true" customHeight="false" outlineLevel="0" collapsed="false">
      <c r="F428" s="9"/>
    </row>
    <row r="429" customFormat="false" ht="15.75" hidden="true" customHeight="false" outlineLevel="0" collapsed="false">
      <c r="F429" s="9"/>
    </row>
    <row r="430" customFormat="false" ht="15.75" hidden="true" customHeight="false" outlineLevel="0" collapsed="false">
      <c r="F430" s="9"/>
    </row>
    <row r="431" customFormat="false" ht="15.75" hidden="true" customHeight="false" outlineLevel="0" collapsed="false">
      <c r="F431" s="9"/>
    </row>
    <row r="432" customFormat="false" ht="15.75" hidden="true" customHeight="false" outlineLevel="0" collapsed="false">
      <c r="F432" s="9"/>
    </row>
    <row r="433" customFormat="false" ht="15.75" hidden="true" customHeight="false" outlineLevel="0" collapsed="false">
      <c r="F433" s="9"/>
    </row>
    <row r="434" customFormat="false" ht="15.75" hidden="true" customHeight="false" outlineLevel="0" collapsed="false">
      <c r="F434" s="9"/>
    </row>
    <row r="435" customFormat="false" ht="15.75" hidden="true" customHeight="false" outlineLevel="0" collapsed="false">
      <c r="F435" s="9"/>
    </row>
    <row r="436" customFormat="false" ht="15.75" hidden="true" customHeight="false" outlineLevel="0" collapsed="false">
      <c r="F436" s="9"/>
    </row>
    <row r="437" customFormat="false" ht="15.75" hidden="true" customHeight="false" outlineLevel="0" collapsed="false">
      <c r="F437" s="9"/>
    </row>
    <row r="438" customFormat="false" ht="15.75" hidden="true" customHeight="false" outlineLevel="0" collapsed="false">
      <c r="F438" s="9"/>
    </row>
    <row r="439" customFormat="false" ht="15.75" hidden="true" customHeight="false" outlineLevel="0" collapsed="false">
      <c r="F439" s="9"/>
    </row>
    <row r="440" customFormat="false" ht="15.75" hidden="true" customHeight="false" outlineLevel="0" collapsed="false">
      <c r="F440" s="9"/>
    </row>
    <row r="441" customFormat="false" ht="15.75" hidden="true" customHeight="false" outlineLevel="0" collapsed="false">
      <c r="F441" s="9"/>
    </row>
    <row r="442" customFormat="false" ht="15.75" hidden="true" customHeight="false" outlineLevel="0" collapsed="false">
      <c r="F442" s="9"/>
    </row>
    <row r="443" customFormat="false" ht="15.75" hidden="true" customHeight="false" outlineLevel="0" collapsed="false">
      <c r="F443" s="9"/>
    </row>
    <row r="444" customFormat="false" ht="15.75" hidden="true" customHeight="false" outlineLevel="0" collapsed="false">
      <c r="F444" s="9"/>
    </row>
    <row r="445" customFormat="false" ht="15.75" hidden="true" customHeight="false" outlineLevel="0" collapsed="false">
      <c r="F445" s="9"/>
    </row>
    <row r="446" customFormat="false" ht="15.75" hidden="true" customHeight="false" outlineLevel="0" collapsed="false">
      <c r="F446" s="9"/>
    </row>
    <row r="447" customFormat="false" ht="15.75" hidden="true" customHeight="false" outlineLevel="0" collapsed="false">
      <c r="F447" s="9"/>
    </row>
    <row r="448" customFormat="false" ht="15.75" hidden="true" customHeight="false" outlineLevel="0" collapsed="false">
      <c r="F448" s="9"/>
    </row>
    <row r="449" customFormat="false" ht="15.75" hidden="true" customHeight="false" outlineLevel="0" collapsed="false">
      <c r="F449" s="9"/>
    </row>
    <row r="450" customFormat="false" ht="15.75" hidden="true" customHeight="false" outlineLevel="0" collapsed="false">
      <c r="F450" s="9"/>
    </row>
    <row r="451" customFormat="false" ht="15.75" hidden="true" customHeight="false" outlineLevel="0" collapsed="false">
      <c r="F451" s="9"/>
    </row>
    <row r="452" customFormat="false" ht="15.75" hidden="true" customHeight="false" outlineLevel="0" collapsed="false">
      <c r="F452" s="9"/>
    </row>
    <row r="453" customFormat="false" ht="15.75" hidden="true" customHeight="false" outlineLevel="0" collapsed="false">
      <c r="F453" s="9"/>
    </row>
    <row r="454" customFormat="false" ht="15.75" hidden="true" customHeight="false" outlineLevel="0" collapsed="false">
      <c r="F454" s="9"/>
    </row>
    <row r="455" customFormat="false" ht="15.75" hidden="true" customHeight="false" outlineLevel="0" collapsed="false">
      <c r="F455" s="9"/>
    </row>
    <row r="456" customFormat="false" ht="15.75" hidden="true" customHeight="false" outlineLevel="0" collapsed="false">
      <c r="F456" s="9"/>
    </row>
    <row r="457" customFormat="false" ht="15.75" hidden="true" customHeight="false" outlineLevel="0" collapsed="false">
      <c r="F457" s="9"/>
    </row>
    <row r="458" customFormat="false" ht="15.75" hidden="true" customHeight="false" outlineLevel="0" collapsed="false">
      <c r="F458" s="9"/>
    </row>
    <row r="459" customFormat="false" ht="15.75" hidden="true" customHeight="false" outlineLevel="0" collapsed="false">
      <c r="F459" s="9"/>
    </row>
    <row r="460" customFormat="false" ht="15.75" hidden="true" customHeight="false" outlineLevel="0" collapsed="false">
      <c r="F460" s="9"/>
    </row>
    <row r="461" customFormat="false" ht="15.75" hidden="true" customHeight="false" outlineLevel="0" collapsed="false">
      <c r="F461" s="9"/>
    </row>
    <row r="462" customFormat="false" ht="15.75" hidden="true" customHeight="false" outlineLevel="0" collapsed="false">
      <c r="F462" s="9"/>
    </row>
    <row r="463" customFormat="false" ht="15.75" hidden="true" customHeight="false" outlineLevel="0" collapsed="false">
      <c r="F463" s="9"/>
    </row>
    <row r="464" customFormat="false" ht="15.75" hidden="true" customHeight="false" outlineLevel="0" collapsed="false">
      <c r="F464" s="9"/>
    </row>
    <row r="465" customFormat="false" ht="15.75" hidden="true" customHeight="false" outlineLevel="0" collapsed="false">
      <c r="F465" s="9"/>
    </row>
    <row r="466" customFormat="false" ht="15.75" hidden="true" customHeight="false" outlineLevel="0" collapsed="false">
      <c r="F466" s="9"/>
    </row>
    <row r="467" customFormat="false" ht="15.75" hidden="true" customHeight="false" outlineLevel="0" collapsed="false">
      <c r="F467" s="9"/>
    </row>
    <row r="468" customFormat="false" ht="15.75" hidden="true" customHeight="false" outlineLevel="0" collapsed="false">
      <c r="F468" s="9"/>
    </row>
    <row r="469" customFormat="false" ht="15.75" hidden="true" customHeight="false" outlineLevel="0" collapsed="false">
      <c r="F469" s="9"/>
    </row>
    <row r="470" customFormat="false" ht="15.75" hidden="true" customHeight="false" outlineLevel="0" collapsed="false">
      <c r="F470" s="9"/>
    </row>
    <row r="471" customFormat="false" ht="15.75" hidden="true" customHeight="false" outlineLevel="0" collapsed="false">
      <c r="F471" s="9"/>
    </row>
    <row r="472" customFormat="false" ht="15.75" hidden="true" customHeight="false" outlineLevel="0" collapsed="false">
      <c r="F472" s="9"/>
    </row>
    <row r="473" customFormat="false" ht="15.75" hidden="true" customHeight="false" outlineLevel="0" collapsed="false">
      <c r="F473" s="9"/>
    </row>
    <row r="474" customFormat="false" ht="15.75" hidden="true" customHeight="false" outlineLevel="0" collapsed="false">
      <c r="F474" s="9"/>
    </row>
    <row r="475" customFormat="false" ht="15.75" hidden="true" customHeight="false" outlineLevel="0" collapsed="false">
      <c r="F475" s="9"/>
    </row>
    <row r="476" customFormat="false" ht="15.75" hidden="true" customHeight="false" outlineLevel="0" collapsed="false">
      <c r="F476" s="9"/>
    </row>
    <row r="477" customFormat="false" ht="15.75" hidden="true" customHeight="false" outlineLevel="0" collapsed="false">
      <c r="F477" s="9"/>
    </row>
    <row r="478" customFormat="false" ht="15.75" hidden="true" customHeight="false" outlineLevel="0" collapsed="false">
      <c r="F478" s="9"/>
    </row>
    <row r="479" customFormat="false" ht="15.75" hidden="true" customHeight="false" outlineLevel="0" collapsed="false">
      <c r="F479" s="9"/>
    </row>
    <row r="480" customFormat="false" ht="15.75" hidden="true" customHeight="false" outlineLevel="0" collapsed="false">
      <c r="F480" s="9"/>
    </row>
    <row r="481" customFormat="false" ht="15.75" hidden="true" customHeight="false" outlineLevel="0" collapsed="false">
      <c r="F481" s="9"/>
    </row>
    <row r="482" customFormat="false" ht="15.75" hidden="true" customHeight="false" outlineLevel="0" collapsed="false">
      <c r="F482" s="9"/>
    </row>
    <row r="483" customFormat="false" ht="15.75" hidden="true" customHeight="false" outlineLevel="0" collapsed="false">
      <c r="F483" s="9"/>
    </row>
    <row r="484" customFormat="false" ht="15.75" hidden="true" customHeight="false" outlineLevel="0" collapsed="false">
      <c r="F484" s="9"/>
    </row>
    <row r="485" customFormat="false" ht="15.75" hidden="true" customHeight="false" outlineLevel="0" collapsed="false">
      <c r="F485" s="9"/>
    </row>
    <row r="486" customFormat="false" ht="15.75" hidden="true" customHeight="false" outlineLevel="0" collapsed="false">
      <c r="F486" s="9"/>
    </row>
    <row r="487" customFormat="false" ht="15.75" hidden="true" customHeight="false" outlineLevel="0" collapsed="false">
      <c r="F487" s="9"/>
    </row>
    <row r="488" customFormat="false" ht="15.75" hidden="true" customHeight="false" outlineLevel="0" collapsed="false">
      <c r="F488" s="9"/>
    </row>
    <row r="489" customFormat="false" ht="15.75" hidden="true" customHeight="false" outlineLevel="0" collapsed="false">
      <c r="F489" s="9"/>
    </row>
    <row r="490" customFormat="false" ht="15.75" hidden="true" customHeight="false" outlineLevel="0" collapsed="false">
      <c r="F490" s="9"/>
    </row>
    <row r="491" customFormat="false" ht="15.75" hidden="true" customHeight="false" outlineLevel="0" collapsed="false">
      <c r="F491" s="9"/>
    </row>
    <row r="492" customFormat="false" ht="15.75" hidden="true" customHeight="false" outlineLevel="0" collapsed="false">
      <c r="F492" s="9"/>
    </row>
    <row r="493" customFormat="false" ht="15.75" hidden="true" customHeight="false" outlineLevel="0" collapsed="false">
      <c r="F493" s="9"/>
    </row>
    <row r="494" customFormat="false" ht="15.75" hidden="true" customHeight="false" outlineLevel="0" collapsed="false">
      <c r="F494" s="9"/>
    </row>
    <row r="495" customFormat="false" ht="15.75" hidden="true" customHeight="false" outlineLevel="0" collapsed="false">
      <c r="F495" s="9"/>
    </row>
    <row r="496" customFormat="false" ht="15.75" hidden="true" customHeight="false" outlineLevel="0" collapsed="false">
      <c r="F496" s="9"/>
    </row>
    <row r="497" customFormat="false" ht="15.75" hidden="true" customHeight="false" outlineLevel="0" collapsed="false">
      <c r="F497" s="9"/>
    </row>
    <row r="498" customFormat="false" ht="15.75" hidden="true" customHeight="false" outlineLevel="0" collapsed="false">
      <c r="F498" s="9"/>
    </row>
    <row r="499" customFormat="false" ht="15.75" hidden="true" customHeight="false" outlineLevel="0" collapsed="false">
      <c r="F499" s="9"/>
    </row>
    <row r="500" customFormat="false" ht="15.75" hidden="true" customHeight="false" outlineLevel="0" collapsed="false">
      <c r="F500" s="9"/>
    </row>
    <row r="501" customFormat="false" ht="15.75" hidden="true" customHeight="false" outlineLevel="0" collapsed="false">
      <c r="F501" s="9"/>
    </row>
    <row r="502" customFormat="false" ht="15.75" hidden="true" customHeight="false" outlineLevel="0" collapsed="false">
      <c r="F502" s="9"/>
    </row>
    <row r="503" customFormat="false" ht="15.75" hidden="true" customHeight="false" outlineLevel="0" collapsed="false">
      <c r="F503" s="9"/>
    </row>
    <row r="504" customFormat="false" ht="15.75" hidden="true" customHeight="false" outlineLevel="0" collapsed="false">
      <c r="F504" s="9"/>
    </row>
    <row r="505" customFormat="false" ht="15.75" hidden="true" customHeight="false" outlineLevel="0" collapsed="false">
      <c r="F505" s="9"/>
    </row>
    <row r="506" customFormat="false" ht="15.75" hidden="true" customHeight="false" outlineLevel="0" collapsed="false">
      <c r="F506" s="9"/>
    </row>
    <row r="507" customFormat="false" ht="15.75" hidden="true" customHeight="false" outlineLevel="0" collapsed="false">
      <c r="F507" s="9"/>
    </row>
    <row r="508" customFormat="false" ht="15.75" hidden="true" customHeight="false" outlineLevel="0" collapsed="false">
      <c r="F508" s="9"/>
    </row>
    <row r="509" customFormat="false" ht="15.75" hidden="true" customHeight="false" outlineLevel="0" collapsed="false">
      <c r="F509" s="9"/>
    </row>
    <row r="510" customFormat="false" ht="15.75" hidden="true" customHeight="false" outlineLevel="0" collapsed="false">
      <c r="F510" s="9"/>
    </row>
    <row r="511" customFormat="false" ht="15.75" hidden="true" customHeight="false" outlineLevel="0" collapsed="false">
      <c r="F511" s="9"/>
    </row>
    <row r="512" customFormat="false" ht="15.75" hidden="true" customHeight="false" outlineLevel="0" collapsed="false">
      <c r="F512" s="9"/>
    </row>
    <row r="513" customFormat="false" ht="15.75" hidden="true" customHeight="false" outlineLevel="0" collapsed="false">
      <c r="F513" s="9"/>
    </row>
    <row r="514" customFormat="false" ht="15.75" hidden="true" customHeight="false" outlineLevel="0" collapsed="false">
      <c r="F514" s="9"/>
    </row>
    <row r="515" customFormat="false" ht="15.75" hidden="true" customHeight="false" outlineLevel="0" collapsed="false">
      <c r="F515" s="9"/>
    </row>
    <row r="516" customFormat="false" ht="15.75" hidden="true" customHeight="false" outlineLevel="0" collapsed="false">
      <c r="F516" s="9"/>
    </row>
    <row r="517" customFormat="false" ht="15.75" hidden="true" customHeight="false" outlineLevel="0" collapsed="false">
      <c r="F517" s="9"/>
    </row>
    <row r="518" customFormat="false" ht="15.75" hidden="true" customHeight="false" outlineLevel="0" collapsed="false">
      <c r="F518" s="9"/>
    </row>
    <row r="519" customFormat="false" ht="15.75" hidden="true" customHeight="false" outlineLevel="0" collapsed="false">
      <c r="F519" s="9"/>
    </row>
    <row r="520" customFormat="false" ht="15.75" hidden="true" customHeight="false" outlineLevel="0" collapsed="false">
      <c r="F520" s="9"/>
    </row>
    <row r="521" customFormat="false" ht="15.75" hidden="true" customHeight="false" outlineLevel="0" collapsed="false">
      <c r="F521" s="9"/>
    </row>
    <row r="522" customFormat="false" ht="15.75" hidden="true" customHeight="false" outlineLevel="0" collapsed="false">
      <c r="F522" s="9"/>
    </row>
    <row r="523" customFormat="false" ht="15.75" hidden="true" customHeight="false" outlineLevel="0" collapsed="false">
      <c r="F523" s="9"/>
    </row>
    <row r="524" customFormat="false" ht="15.75" hidden="true" customHeight="false" outlineLevel="0" collapsed="false">
      <c r="F524" s="9"/>
    </row>
    <row r="525" customFormat="false" ht="15.75" hidden="true" customHeight="false" outlineLevel="0" collapsed="false">
      <c r="F525" s="9"/>
    </row>
    <row r="526" customFormat="false" ht="15.75" hidden="true" customHeight="false" outlineLevel="0" collapsed="false">
      <c r="F526" s="9"/>
    </row>
    <row r="527" customFormat="false" ht="15.75" hidden="true" customHeight="false" outlineLevel="0" collapsed="false">
      <c r="F527" s="9"/>
    </row>
    <row r="528" customFormat="false" ht="15.75" hidden="true" customHeight="false" outlineLevel="0" collapsed="false">
      <c r="F528" s="9"/>
    </row>
    <row r="529" customFormat="false" ht="15.75" hidden="true" customHeight="false" outlineLevel="0" collapsed="false">
      <c r="F529" s="9"/>
    </row>
    <row r="530" customFormat="false" ht="15.75" hidden="true" customHeight="false" outlineLevel="0" collapsed="false">
      <c r="F530" s="9"/>
    </row>
    <row r="531" customFormat="false" ht="15.75" hidden="true" customHeight="false" outlineLevel="0" collapsed="false">
      <c r="F531" s="9"/>
    </row>
    <row r="532" customFormat="false" ht="15.75" hidden="true" customHeight="false" outlineLevel="0" collapsed="false">
      <c r="F532" s="9"/>
    </row>
    <row r="533" customFormat="false" ht="15.75" hidden="true" customHeight="false" outlineLevel="0" collapsed="false">
      <c r="F533" s="9"/>
    </row>
    <row r="534" customFormat="false" ht="15.75" hidden="true" customHeight="false" outlineLevel="0" collapsed="false">
      <c r="F534" s="9"/>
    </row>
    <row r="535" customFormat="false" ht="15.75" hidden="true" customHeight="false" outlineLevel="0" collapsed="false">
      <c r="F535" s="9"/>
    </row>
    <row r="536" customFormat="false" ht="15.75" hidden="true" customHeight="false" outlineLevel="0" collapsed="false">
      <c r="F536" s="9"/>
    </row>
    <row r="537" customFormat="false" ht="15.75" hidden="true" customHeight="false" outlineLevel="0" collapsed="false">
      <c r="F537" s="9"/>
    </row>
    <row r="538" customFormat="false" ht="15.75" hidden="true" customHeight="false" outlineLevel="0" collapsed="false">
      <c r="F538" s="9"/>
    </row>
    <row r="539" customFormat="false" ht="15.75" hidden="true" customHeight="false" outlineLevel="0" collapsed="false">
      <c r="F539" s="9"/>
    </row>
    <row r="540" customFormat="false" ht="15.75" hidden="true" customHeight="false" outlineLevel="0" collapsed="false">
      <c r="F540" s="9"/>
    </row>
    <row r="541" customFormat="false" ht="15.75" hidden="true" customHeight="false" outlineLevel="0" collapsed="false">
      <c r="F541" s="9"/>
    </row>
    <row r="542" customFormat="false" ht="15.75" hidden="true" customHeight="false" outlineLevel="0" collapsed="false">
      <c r="F542" s="9"/>
    </row>
    <row r="543" customFormat="false" ht="15.75" hidden="true" customHeight="false" outlineLevel="0" collapsed="false">
      <c r="F543" s="9"/>
    </row>
    <row r="544" customFormat="false" ht="15.75" hidden="true" customHeight="false" outlineLevel="0" collapsed="false">
      <c r="F544" s="9"/>
    </row>
    <row r="545" customFormat="false" ht="15.75" hidden="true" customHeight="false" outlineLevel="0" collapsed="false">
      <c r="F545" s="9"/>
    </row>
    <row r="546" customFormat="false" ht="15.75" hidden="true" customHeight="false" outlineLevel="0" collapsed="false">
      <c r="F546" s="9"/>
    </row>
    <row r="547" customFormat="false" ht="15.75" hidden="true" customHeight="false" outlineLevel="0" collapsed="false">
      <c r="F547" s="9"/>
    </row>
    <row r="548" customFormat="false" ht="15.75" hidden="true" customHeight="false" outlineLevel="0" collapsed="false">
      <c r="F548" s="9"/>
    </row>
    <row r="549" customFormat="false" ht="15.75" hidden="true" customHeight="false" outlineLevel="0" collapsed="false">
      <c r="F549" s="9"/>
    </row>
    <row r="550" customFormat="false" ht="15.75" hidden="true" customHeight="false" outlineLevel="0" collapsed="false">
      <c r="F550" s="9"/>
    </row>
    <row r="551" customFormat="false" ht="15.75" hidden="true" customHeight="false" outlineLevel="0" collapsed="false">
      <c r="F551" s="9"/>
    </row>
    <row r="552" customFormat="false" ht="15.75" hidden="true" customHeight="false" outlineLevel="0" collapsed="false">
      <c r="F552" s="9"/>
    </row>
    <row r="553" customFormat="false" ht="15.75" hidden="true" customHeight="false" outlineLevel="0" collapsed="false">
      <c r="F553" s="9"/>
    </row>
    <row r="554" customFormat="false" ht="15.75" hidden="true" customHeight="false" outlineLevel="0" collapsed="false">
      <c r="F554" s="9"/>
    </row>
    <row r="555" customFormat="false" ht="15.75" hidden="true" customHeight="false" outlineLevel="0" collapsed="false">
      <c r="F555" s="9"/>
    </row>
    <row r="556" customFormat="false" ht="15.75" hidden="true" customHeight="false" outlineLevel="0" collapsed="false">
      <c r="F556" s="9"/>
    </row>
    <row r="557" customFormat="false" ht="15.75" hidden="true" customHeight="false" outlineLevel="0" collapsed="false">
      <c r="F557" s="9"/>
    </row>
    <row r="558" customFormat="false" ht="15.75" hidden="true" customHeight="false" outlineLevel="0" collapsed="false">
      <c r="F558" s="9"/>
    </row>
    <row r="559" customFormat="false" ht="15.75" hidden="true" customHeight="false" outlineLevel="0" collapsed="false">
      <c r="F559" s="9"/>
    </row>
    <row r="560" customFormat="false" ht="15.75" hidden="true" customHeight="false" outlineLevel="0" collapsed="false">
      <c r="F560" s="9"/>
    </row>
    <row r="561" customFormat="false" ht="15.75" hidden="true" customHeight="false" outlineLevel="0" collapsed="false">
      <c r="F561" s="9"/>
    </row>
    <row r="562" customFormat="false" ht="15.75" hidden="true" customHeight="false" outlineLevel="0" collapsed="false">
      <c r="F562" s="9"/>
    </row>
    <row r="563" customFormat="false" ht="15.75" hidden="true" customHeight="false" outlineLevel="0" collapsed="false">
      <c r="F563" s="9"/>
    </row>
    <row r="564" customFormat="false" ht="15.75" hidden="true" customHeight="false" outlineLevel="0" collapsed="false">
      <c r="F564" s="9"/>
    </row>
    <row r="565" customFormat="false" ht="15.75" hidden="true" customHeight="false" outlineLevel="0" collapsed="false">
      <c r="F565" s="9"/>
    </row>
    <row r="566" customFormat="false" ht="15.75" hidden="true" customHeight="false" outlineLevel="0" collapsed="false">
      <c r="F566" s="9"/>
    </row>
    <row r="567" customFormat="false" ht="15.75" hidden="true" customHeight="false" outlineLevel="0" collapsed="false">
      <c r="F567" s="9"/>
    </row>
    <row r="568" customFormat="false" ht="15.75" hidden="true" customHeight="false" outlineLevel="0" collapsed="false">
      <c r="F568" s="9"/>
    </row>
    <row r="569" customFormat="false" ht="15.75" hidden="true" customHeight="false" outlineLevel="0" collapsed="false">
      <c r="F569" s="9"/>
    </row>
    <row r="570" customFormat="false" ht="15.75" hidden="true" customHeight="false" outlineLevel="0" collapsed="false">
      <c r="F570" s="9"/>
    </row>
    <row r="571" customFormat="false" ht="15.75" hidden="true" customHeight="false" outlineLevel="0" collapsed="false">
      <c r="F571" s="9"/>
    </row>
    <row r="572" customFormat="false" ht="15.75" hidden="true" customHeight="false" outlineLevel="0" collapsed="false">
      <c r="F572" s="9"/>
    </row>
    <row r="573" customFormat="false" ht="15.75" hidden="true" customHeight="false" outlineLevel="0" collapsed="false">
      <c r="F573" s="9"/>
    </row>
    <row r="574" customFormat="false" ht="15.75" hidden="true" customHeight="false" outlineLevel="0" collapsed="false">
      <c r="F574" s="9"/>
    </row>
    <row r="575" customFormat="false" ht="15.75" hidden="true" customHeight="false" outlineLevel="0" collapsed="false">
      <c r="F575" s="9"/>
    </row>
    <row r="576" customFormat="false" ht="15.75" hidden="true" customHeight="false" outlineLevel="0" collapsed="false">
      <c r="F576" s="9"/>
    </row>
    <row r="577" customFormat="false" ht="15.75" hidden="true" customHeight="false" outlineLevel="0" collapsed="false">
      <c r="F577" s="9"/>
    </row>
    <row r="578" customFormat="false" ht="15.75" hidden="true" customHeight="false" outlineLevel="0" collapsed="false">
      <c r="F578" s="9"/>
    </row>
    <row r="579" customFormat="false" ht="15.75" hidden="true" customHeight="false" outlineLevel="0" collapsed="false">
      <c r="F579" s="9"/>
    </row>
    <row r="580" customFormat="false" ht="15.75" hidden="true" customHeight="false" outlineLevel="0" collapsed="false">
      <c r="F580" s="9"/>
    </row>
    <row r="581" customFormat="false" ht="15.75" hidden="true" customHeight="false" outlineLevel="0" collapsed="false">
      <c r="F581" s="9"/>
    </row>
    <row r="582" customFormat="false" ht="15.75" hidden="true" customHeight="false" outlineLevel="0" collapsed="false">
      <c r="F582" s="9"/>
    </row>
    <row r="583" customFormat="false" ht="15.75" hidden="true" customHeight="false" outlineLevel="0" collapsed="false">
      <c r="F583" s="9"/>
    </row>
    <row r="584" customFormat="false" ht="15.75" hidden="true" customHeight="false" outlineLevel="0" collapsed="false">
      <c r="F584" s="9"/>
    </row>
    <row r="585" customFormat="false" ht="15.75" hidden="true" customHeight="false" outlineLevel="0" collapsed="false">
      <c r="F585" s="9"/>
    </row>
    <row r="586" customFormat="false" ht="15.75" hidden="true" customHeight="false" outlineLevel="0" collapsed="false">
      <c r="F586" s="9"/>
    </row>
    <row r="587" customFormat="false" ht="15.75" hidden="true" customHeight="false" outlineLevel="0" collapsed="false">
      <c r="F587" s="9"/>
    </row>
    <row r="588" customFormat="false" ht="15.75" hidden="true" customHeight="false" outlineLevel="0" collapsed="false">
      <c r="F588" s="9"/>
    </row>
    <row r="589" customFormat="false" ht="15.75" hidden="true" customHeight="false" outlineLevel="0" collapsed="false">
      <c r="F589" s="9"/>
    </row>
    <row r="590" customFormat="false" ht="15.75" hidden="true" customHeight="false" outlineLevel="0" collapsed="false">
      <c r="F590" s="9"/>
    </row>
    <row r="591" customFormat="false" ht="15.75" hidden="true" customHeight="false" outlineLevel="0" collapsed="false">
      <c r="F591" s="9"/>
    </row>
    <row r="592" customFormat="false" ht="15.75" hidden="true" customHeight="false" outlineLevel="0" collapsed="false">
      <c r="F592" s="9"/>
    </row>
    <row r="593" customFormat="false" ht="15.75" hidden="true" customHeight="false" outlineLevel="0" collapsed="false">
      <c r="F593" s="9"/>
    </row>
    <row r="594" customFormat="false" ht="15.75" hidden="true" customHeight="false" outlineLevel="0" collapsed="false">
      <c r="F594" s="9"/>
    </row>
    <row r="595" customFormat="false" ht="15.75" hidden="true" customHeight="false" outlineLevel="0" collapsed="false">
      <c r="F595" s="9"/>
    </row>
    <row r="596" customFormat="false" ht="15.75" hidden="true" customHeight="false" outlineLevel="0" collapsed="false">
      <c r="F596" s="9"/>
    </row>
    <row r="597" customFormat="false" ht="15.75" hidden="true" customHeight="false" outlineLevel="0" collapsed="false">
      <c r="F597" s="9"/>
    </row>
    <row r="598" customFormat="false" ht="15.75" hidden="true" customHeight="false" outlineLevel="0" collapsed="false">
      <c r="F598" s="9"/>
    </row>
    <row r="599" customFormat="false" ht="15.75" hidden="true" customHeight="false" outlineLevel="0" collapsed="false">
      <c r="F599" s="9"/>
    </row>
    <row r="600" customFormat="false" ht="15.75" hidden="true" customHeight="false" outlineLevel="0" collapsed="false">
      <c r="F600" s="9"/>
    </row>
    <row r="601" customFormat="false" ht="15.75" hidden="true" customHeight="false" outlineLevel="0" collapsed="false">
      <c r="F601" s="9"/>
    </row>
    <row r="602" customFormat="false" ht="15.75" hidden="true" customHeight="false" outlineLevel="0" collapsed="false">
      <c r="F602" s="9"/>
    </row>
    <row r="603" customFormat="false" ht="15.75" hidden="true" customHeight="false" outlineLevel="0" collapsed="false">
      <c r="F603" s="9"/>
    </row>
    <row r="604" customFormat="false" ht="15.75" hidden="true" customHeight="false" outlineLevel="0" collapsed="false">
      <c r="F604" s="9"/>
    </row>
    <row r="605" customFormat="false" ht="15.75" hidden="true" customHeight="false" outlineLevel="0" collapsed="false">
      <c r="F605" s="9"/>
    </row>
    <row r="606" customFormat="false" ht="15.75" hidden="true" customHeight="false" outlineLevel="0" collapsed="false">
      <c r="F606" s="9"/>
    </row>
    <row r="607" customFormat="false" ht="15.75" hidden="true" customHeight="false" outlineLevel="0" collapsed="false">
      <c r="F607" s="9"/>
    </row>
    <row r="608" customFormat="false" ht="15.75" hidden="true" customHeight="false" outlineLevel="0" collapsed="false">
      <c r="F608" s="9"/>
    </row>
    <row r="609" customFormat="false" ht="15.75" hidden="true" customHeight="false" outlineLevel="0" collapsed="false">
      <c r="F609" s="9"/>
    </row>
    <row r="610" customFormat="false" ht="15.75" hidden="true" customHeight="false" outlineLevel="0" collapsed="false">
      <c r="F610" s="9"/>
    </row>
    <row r="611" customFormat="false" ht="15.75" hidden="true" customHeight="false" outlineLevel="0" collapsed="false">
      <c r="F611" s="9"/>
    </row>
    <row r="612" customFormat="false" ht="15.75" hidden="true" customHeight="false" outlineLevel="0" collapsed="false">
      <c r="F612" s="9"/>
    </row>
    <row r="613" customFormat="false" ht="15.75" hidden="true" customHeight="false" outlineLevel="0" collapsed="false">
      <c r="F613" s="9"/>
    </row>
    <row r="614" customFormat="false" ht="15.75" hidden="true" customHeight="false" outlineLevel="0" collapsed="false">
      <c r="F614" s="9"/>
    </row>
    <row r="615" customFormat="false" ht="15.75" hidden="true" customHeight="false" outlineLevel="0" collapsed="false">
      <c r="F615" s="9"/>
    </row>
    <row r="616" customFormat="false" ht="15.75" hidden="true" customHeight="false" outlineLevel="0" collapsed="false">
      <c r="F616" s="9"/>
    </row>
    <row r="617" customFormat="false" ht="15.75" hidden="true" customHeight="false" outlineLevel="0" collapsed="false">
      <c r="F617" s="9"/>
    </row>
    <row r="618" customFormat="false" ht="15.75" hidden="true" customHeight="false" outlineLevel="0" collapsed="false">
      <c r="F618" s="9"/>
    </row>
    <row r="619" customFormat="false" ht="15.75" hidden="true" customHeight="false" outlineLevel="0" collapsed="false">
      <c r="F619" s="9"/>
    </row>
    <row r="620" customFormat="false" ht="15.75" hidden="true" customHeight="false" outlineLevel="0" collapsed="false">
      <c r="F620" s="9"/>
    </row>
    <row r="621" customFormat="false" ht="15.75" hidden="true" customHeight="false" outlineLevel="0" collapsed="false">
      <c r="F621" s="9"/>
    </row>
    <row r="622" customFormat="false" ht="15.75" hidden="true" customHeight="false" outlineLevel="0" collapsed="false">
      <c r="F622" s="9"/>
    </row>
    <row r="623" customFormat="false" ht="15.75" hidden="true" customHeight="false" outlineLevel="0" collapsed="false">
      <c r="F623" s="9"/>
    </row>
    <row r="624" customFormat="false" ht="15.75" hidden="true" customHeight="false" outlineLevel="0" collapsed="false">
      <c r="F624" s="9"/>
    </row>
    <row r="625" customFormat="false" ht="15.75" hidden="true" customHeight="false" outlineLevel="0" collapsed="false">
      <c r="F625" s="9"/>
    </row>
    <row r="626" customFormat="false" ht="15.75" hidden="true" customHeight="false" outlineLevel="0" collapsed="false">
      <c r="F626" s="9"/>
    </row>
    <row r="627" customFormat="false" ht="15.75" hidden="true" customHeight="false" outlineLevel="0" collapsed="false">
      <c r="F627" s="9"/>
    </row>
    <row r="628" customFormat="false" ht="15.75" hidden="true" customHeight="false" outlineLevel="0" collapsed="false">
      <c r="F628" s="9"/>
    </row>
    <row r="629" customFormat="false" ht="15.75" hidden="true" customHeight="false" outlineLevel="0" collapsed="false">
      <c r="F629" s="9"/>
    </row>
    <row r="630" customFormat="false" ht="15.75" hidden="true" customHeight="false" outlineLevel="0" collapsed="false">
      <c r="F630" s="9"/>
    </row>
    <row r="631" customFormat="false" ht="15.75" hidden="true" customHeight="false" outlineLevel="0" collapsed="false">
      <c r="F631" s="9"/>
    </row>
    <row r="632" customFormat="false" ht="15.75" hidden="true" customHeight="false" outlineLevel="0" collapsed="false">
      <c r="F632" s="9"/>
    </row>
    <row r="633" customFormat="false" ht="15.75" hidden="true" customHeight="false" outlineLevel="0" collapsed="false">
      <c r="F633" s="9"/>
    </row>
    <row r="634" customFormat="false" ht="15.75" hidden="true" customHeight="false" outlineLevel="0" collapsed="false">
      <c r="F634" s="9"/>
    </row>
    <row r="635" customFormat="false" ht="15.75" hidden="true" customHeight="false" outlineLevel="0" collapsed="false">
      <c r="F635" s="9"/>
    </row>
    <row r="636" customFormat="false" ht="15.75" hidden="true" customHeight="false" outlineLevel="0" collapsed="false">
      <c r="F636" s="9"/>
    </row>
    <row r="637" customFormat="false" ht="15.75" hidden="true" customHeight="false" outlineLevel="0" collapsed="false">
      <c r="F637" s="9"/>
    </row>
    <row r="638" customFormat="false" ht="15.75" hidden="true" customHeight="false" outlineLevel="0" collapsed="false">
      <c r="F638" s="9"/>
    </row>
    <row r="639" customFormat="false" ht="15.75" hidden="true" customHeight="false" outlineLevel="0" collapsed="false">
      <c r="F639" s="9"/>
    </row>
    <row r="640" customFormat="false" ht="15.75" hidden="true" customHeight="false" outlineLevel="0" collapsed="false">
      <c r="F640" s="9"/>
    </row>
    <row r="641" customFormat="false" ht="15.75" hidden="true" customHeight="false" outlineLevel="0" collapsed="false">
      <c r="F641" s="9"/>
    </row>
    <row r="642" customFormat="false" ht="15.75" hidden="true" customHeight="false" outlineLevel="0" collapsed="false">
      <c r="F642" s="9"/>
    </row>
    <row r="643" customFormat="false" ht="15.75" hidden="true" customHeight="false" outlineLevel="0" collapsed="false">
      <c r="F643" s="9"/>
    </row>
    <row r="644" customFormat="false" ht="15.75" hidden="true" customHeight="false" outlineLevel="0" collapsed="false">
      <c r="F644" s="9"/>
    </row>
    <row r="645" customFormat="false" ht="15.75" hidden="true" customHeight="false" outlineLevel="0" collapsed="false">
      <c r="F645" s="9"/>
    </row>
    <row r="646" customFormat="false" ht="15.75" hidden="true" customHeight="false" outlineLevel="0" collapsed="false">
      <c r="F646" s="9"/>
    </row>
    <row r="647" customFormat="false" ht="15.75" hidden="true" customHeight="false" outlineLevel="0" collapsed="false">
      <c r="F647" s="9"/>
    </row>
    <row r="648" customFormat="false" ht="15.75" hidden="true" customHeight="false" outlineLevel="0" collapsed="false">
      <c r="F648" s="9"/>
    </row>
    <row r="649" customFormat="false" ht="15.75" hidden="true" customHeight="false" outlineLevel="0" collapsed="false">
      <c r="F649" s="9"/>
    </row>
    <row r="650" customFormat="false" ht="15.75" hidden="true" customHeight="false" outlineLevel="0" collapsed="false">
      <c r="F650" s="9"/>
    </row>
    <row r="651" customFormat="false" ht="15.75" hidden="true" customHeight="false" outlineLevel="0" collapsed="false">
      <c r="F651" s="9"/>
    </row>
    <row r="652" customFormat="false" ht="15.75" hidden="true" customHeight="false" outlineLevel="0" collapsed="false">
      <c r="F652" s="9"/>
    </row>
    <row r="653" customFormat="false" ht="15.75" hidden="true" customHeight="false" outlineLevel="0" collapsed="false">
      <c r="F653" s="9"/>
    </row>
    <row r="654" customFormat="false" ht="15.75" hidden="true" customHeight="false" outlineLevel="0" collapsed="false">
      <c r="F654" s="9"/>
    </row>
    <row r="655" customFormat="false" ht="15.75" hidden="true" customHeight="false" outlineLevel="0" collapsed="false">
      <c r="F655" s="9"/>
    </row>
    <row r="656" customFormat="false" ht="15.75" hidden="true" customHeight="false" outlineLevel="0" collapsed="false">
      <c r="F656" s="9"/>
    </row>
    <row r="657" customFormat="false" ht="15.75" hidden="true" customHeight="false" outlineLevel="0" collapsed="false">
      <c r="F657" s="9"/>
    </row>
    <row r="658" customFormat="false" ht="15.75" hidden="true" customHeight="false" outlineLevel="0" collapsed="false">
      <c r="F658" s="9"/>
    </row>
    <row r="659" customFormat="false" ht="15.75" hidden="true" customHeight="false" outlineLevel="0" collapsed="false">
      <c r="F659" s="9"/>
    </row>
    <row r="660" customFormat="false" ht="15.75" hidden="true" customHeight="false" outlineLevel="0" collapsed="false">
      <c r="F660" s="9"/>
    </row>
    <row r="661" customFormat="false" ht="15.75" hidden="true" customHeight="false" outlineLevel="0" collapsed="false">
      <c r="F661" s="9"/>
    </row>
    <row r="662" customFormat="false" ht="15.75" hidden="true" customHeight="false" outlineLevel="0" collapsed="false">
      <c r="F662" s="9"/>
    </row>
    <row r="663" customFormat="false" ht="15.75" hidden="true" customHeight="false" outlineLevel="0" collapsed="false">
      <c r="F663" s="9"/>
    </row>
    <row r="664" customFormat="false" ht="15.75" hidden="true" customHeight="false" outlineLevel="0" collapsed="false">
      <c r="F664" s="9"/>
    </row>
    <row r="665" customFormat="false" ht="15.75" hidden="true" customHeight="false" outlineLevel="0" collapsed="false">
      <c r="F665" s="9"/>
    </row>
    <row r="666" customFormat="false" ht="15.75" hidden="true" customHeight="false" outlineLevel="0" collapsed="false">
      <c r="F666" s="9"/>
    </row>
    <row r="667" customFormat="false" ht="15.75" hidden="true" customHeight="false" outlineLevel="0" collapsed="false">
      <c r="F667" s="9"/>
    </row>
    <row r="668" customFormat="false" ht="15.75" hidden="true" customHeight="false" outlineLevel="0" collapsed="false">
      <c r="F668" s="9"/>
    </row>
    <row r="669" customFormat="false" ht="15.75" hidden="true" customHeight="false" outlineLevel="0" collapsed="false">
      <c r="F669" s="9"/>
    </row>
    <row r="670" customFormat="false" ht="15.75" hidden="true" customHeight="false" outlineLevel="0" collapsed="false">
      <c r="F670" s="9"/>
    </row>
    <row r="671" customFormat="false" ht="15.75" hidden="true" customHeight="false" outlineLevel="0" collapsed="false">
      <c r="F671" s="9"/>
    </row>
    <row r="672" customFormat="false" ht="15.75" hidden="true" customHeight="false" outlineLevel="0" collapsed="false">
      <c r="F672" s="9"/>
    </row>
    <row r="673" customFormat="false" ht="15.75" hidden="true" customHeight="false" outlineLevel="0" collapsed="false">
      <c r="F673" s="9"/>
    </row>
    <row r="674" customFormat="false" ht="15.75" hidden="true" customHeight="false" outlineLevel="0" collapsed="false">
      <c r="F674" s="9"/>
    </row>
    <row r="675" customFormat="false" ht="15.75" hidden="true" customHeight="false" outlineLevel="0" collapsed="false">
      <c r="F675" s="9"/>
    </row>
    <row r="676" customFormat="false" ht="15.75" hidden="true" customHeight="false" outlineLevel="0" collapsed="false">
      <c r="F676" s="9"/>
    </row>
    <row r="677" customFormat="false" ht="15.75" hidden="true" customHeight="false" outlineLevel="0" collapsed="false">
      <c r="F677" s="9"/>
    </row>
    <row r="678" customFormat="false" ht="15.75" hidden="true" customHeight="false" outlineLevel="0" collapsed="false">
      <c r="F678" s="9"/>
    </row>
    <row r="679" customFormat="false" ht="15.75" hidden="true" customHeight="false" outlineLevel="0" collapsed="false">
      <c r="F679" s="9"/>
    </row>
    <row r="680" customFormat="false" ht="15.75" hidden="true" customHeight="false" outlineLevel="0" collapsed="false">
      <c r="F680" s="9"/>
    </row>
    <row r="681" customFormat="false" ht="15.75" hidden="true" customHeight="false" outlineLevel="0" collapsed="false">
      <c r="F681" s="9"/>
    </row>
    <row r="682" customFormat="false" ht="15.75" hidden="true" customHeight="false" outlineLevel="0" collapsed="false">
      <c r="F682" s="9"/>
    </row>
    <row r="683" customFormat="false" ht="15.75" hidden="true" customHeight="false" outlineLevel="0" collapsed="false">
      <c r="F683" s="9"/>
    </row>
    <row r="684" customFormat="false" ht="15.75" hidden="true" customHeight="false" outlineLevel="0" collapsed="false">
      <c r="F684" s="9"/>
    </row>
    <row r="685" customFormat="false" ht="15.75" hidden="true" customHeight="false" outlineLevel="0" collapsed="false">
      <c r="F685" s="9"/>
    </row>
    <row r="686" customFormat="false" ht="15.75" hidden="true" customHeight="false" outlineLevel="0" collapsed="false">
      <c r="F686" s="9"/>
    </row>
    <row r="687" customFormat="false" ht="15.75" hidden="true" customHeight="false" outlineLevel="0" collapsed="false">
      <c r="F687" s="9"/>
    </row>
    <row r="688" customFormat="false" ht="15.75" hidden="true" customHeight="false" outlineLevel="0" collapsed="false">
      <c r="F688" s="9"/>
    </row>
    <row r="689" customFormat="false" ht="15.75" hidden="true" customHeight="false" outlineLevel="0" collapsed="false">
      <c r="F689" s="9"/>
    </row>
    <row r="690" customFormat="false" ht="15.75" hidden="true" customHeight="false" outlineLevel="0" collapsed="false">
      <c r="F690" s="9"/>
    </row>
    <row r="691" customFormat="false" ht="15.75" hidden="true" customHeight="false" outlineLevel="0" collapsed="false">
      <c r="F691" s="9"/>
    </row>
    <row r="692" customFormat="false" ht="15.75" hidden="true" customHeight="false" outlineLevel="0" collapsed="false">
      <c r="F692" s="9"/>
    </row>
    <row r="693" customFormat="false" ht="15.75" hidden="true" customHeight="false" outlineLevel="0" collapsed="false">
      <c r="F693" s="9"/>
    </row>
    <row r="694" customFormat="false" ht="15.75" hidden="true" customHeight="false" outlineLevel="0" collapsed="false">
      <c r="F694" s="9"/>
    </row>
    <row r="695" customFormat="false" ht="15.75" hidden="true" customHeight="false" outlineLevel="0" collapsed="false">
      <c r="F695" s="9"/>
    </row>
    <row r="696" customFormat="false" ht="15.75" hidden="true" customHeight="false" outlineLevel="0" collapsed="false">
      <c r="F696" s="9"/>
    </row>
    <row r="697" customFormat="false" ht="15.75" hidden="true" customHeight="false" outlineLevel="0" collapsed="false">
      <c r="F697" s="9"/>
    </row>
    <row r="698" customFormat="false" ht="15.75" hidden="true" customHeight="false" outlineLevel="0" collapsed="false">
      <c r="F698" s="9"/>
    </row>
    <row r="699" customFormat="false" ht="15.75" hidden="true" customHeight="false" outlineLevel="0" collapsed="false">
      <c r="F699" s="9"/>
    </row>
    <row r="700" customFormat="false" ht="15.75" hidden="true" customHeight="false" outlineLevel="0" collapsed="false">
      <c r="F700" s="9"/>
    </row>
    <row r="701" customFormat="false" ht="15.75" hidden="true" customHeight="false" outlineLevel="0" collapsed="false">
      <c r="F701" s="9"/>
    </row>
    <row r="702" customFormat="false" ht="15.75" hidden="true" customHeight="false" outlineLevel="0" collapsed="false">
      <c r="F702" s="9"/>
    </row>
    <row r="703" customFormat="false" ht="15.75" hidden="true" customHeight="false" outlineLevel="0" collapsed="false">
      <c r="F703" s="9"/>
    </row>
    <row r="704" customFormat="false" ht="15.75" hidden="true" customHeight="false" outlineLevel="0" collapsed="false">
      <c r="F704" s="9"/>
    </row>
    <row r="705" customFormat="false" ht="15.75" hidden="true" customHeight="false" outlineLevel="0" collapsed="false">
      <c r="F705" s="9"/>
    </row>
    <row r="706" customFormat="false" ht="15.75" hidden="true" customHeight="false" outlineLevel="0" collapsed="false">
      <c r="F706" s="9"/>
    </row>
    <row r="707" customFormat="false" ht="15.75" hidden="true" customHeight="false" outlineLevel="0" collapsed="false">
      <c r="F707" s="9"/>
    </row>
    <row r="708" customFormat="false" ht="15.75" hidden="true" customHeight="false" outlineLevel="0" collapsed="false">
      <c r="F708" s="9"/>
    </row>
    <row r="709" customFormat="false" ht="15.75" hidden="true" customHeight="false" outlineLevel="0" collapsed="false">
      <c r="F709" s="9"/>
    </row>
    <row r="710" customFormat="false" ht="15.75" hidden="true" customHeight="false" outlineLevel="0" collapsed="false">
      <c r="F710" s="9"/>
    </row>
    <row r="711" customFormat="false" ht="15.75" hidden="true" customHeight="false" outlineLevel="0" collapsed="false">
      <c r="F711" s="9"/>
    </row>
    <row r="712" customFormat="false" ht="15.75" hidden="true" customHeight="false" outlineLevel="0" collapsed="false">
      <c r="F712" s="9"/>
    </row>
    <row r="713" customFormat="false" ht="15.75" hidden="true" customHeight="false" outlineLevel="0" collapsed="false">
      <c r="F713" s="9"/>
    </row>
    <row r="714" customFormat="false" ht="15.75" hidden="true" customHeight="false" outlineLevel="0" collapsed="false">
      <c r="F714" s="9"/>
    </row>
    <row r="715" customFormat="false" ht="15.75" hidden="true" customHeight="false" outlineLevel="0" collapsed="false">
      <c r="F715" s="9"/>
    </row>
    <row r="716" customFormat="false" ht="15.75" hidden="true" customHeight="false" outlineLevel="0" collapsed="false">
      <c r="F716" s="9"/>
    </row>
    <row r="717" customFormat="false" ht="15.75" hidden="true" customHeight="false" outlineLevel="0" collapsed="false">
      <c r="F717" s="9"/>
    </row>
    <row r="718" customFormat="false" ht="15.75" hidden="true" customHeight="false" outlineLevel="0" collapsed="false">
      <c r="F718" s="9"/>
    </row>
    <row r="719" customFormat="false" ht="15.75" hidden="true" customHeight="false" outlineLevel="0" collapsed="false">
      <c r="F719" s="9"/>
    </row>
    <row r="720" customFormat="false" ht="15.75" hidden="true" customHeight="false" outlineLevel="0" collapsed="false">
      <c r="F720" s="9"/>
    </row>
    <row r="721" customFormat="false" ht="15.75" hidden="true" customHeight="false" outlineLevel="0" collapsed="false">
      <c r="F721" s="9"/>
    </row>
    <row r="722" customFormat="false" ht="15.75" hidden="true" customHeight="false" outlineLevel="0" collapsed="false">
      <c r="F722" s="9"/>
    </row>
    <row r="723" customFormat="false" ht="15.75" hidden="true" customHeight="false" outlineLevel="0" collapsed="false">
      <c r="F723" s="9"/>
    </row>
    <row r="724" customFormat="false" ht="15.75" hidden="true" customHeight="false" outlineLevel="0" collapsed="false">
      <c r="F724" s="9"/>
    </row>
    <row r="725" customFormat="false" ht="15.75" hidden="true" customHeight="false" outlineLevel="0" collapsed="false">
      <c r="F725" s="9"/>
    </row>
    <row r="726" customFormat="false" ht="15.75" hidden="true" customHeight="false" outlineLevel="0" collapsed="false">
      <c r="F726" s="9"/>
    </row>
    <row r="727" customFormat="false" ht="15.75" hidden="true" customHeight="false" outlineLevel="0" collapsed="false">
      <c r="F727" s="9"/>
    </row>
    <row r="728" customFormat="false" ht="15.75" hidden="true" customHeight="false" outlineLevel="0" collapsed="false">
      <c r="F728" s="9"/>
    </row>
    <row r="729" customFormat="false" ht="15.75" hidden="true" customHeight="false" outlineLevel="0" collapsed="false">
      <c r="F729" s="9"/>
    </row>
    <row r="730" customFormat="false" ht="15.75" hidden="true" customHeight="false" outlineLevel="0" collapsed="false">
      <c r="F730" s="9"/>
    </row>
    <row r="731" customFormat="false" ht="15.75" hidden="true" customHeight="false" outlineLevel="0" collapsed="false">
      <c r="F731" s="9"/>
    </row>
    <row r="732" customFormat="false" ht="15.75" hidden="true" customHeight="false" outlineLevel="0" collapsed="false">
      <c r="F732" s="9"/>
    </row>
    <row r="733" customFormat="false" ht="15.75" hidden="true" customHeight="false" outlineLevel="0" collapsed="false">
      <c r="F733" s="9"/>
    </row>
    <row r="734" customFormat="false" ht="15.75" hidden="true" customHeight="false" outlineLevel="0" collapsed="false">
      <c r="F734" s="9"/>
    </row>
    <row r="735" customFormat="false" ht="15.75" hidden="true" customHeight="false" outlineLevel="0" collapsed="false">
      <c r="F735" s="9"/>
    </row>
    <row r="736" customFormat="false" ht="15.75" hidden="true" customHeight="false" outlineLevel="0" collapsed="false">
      <c r="F736" s="9"/>
    </row>
    <row r="737" customFormat="false" ht="15.75" hidden="true" customHeight="false" outlineLevel="0" collapsed="false">
      <c r="F737" s="9"/>
    </row>
    <row r="738" customFormat="false" ht="15.75" hidden="true" customHeight="false" outlineLevel="0" collapsed="false">
      <c r="F738" s="9"/>
    </row>
    <row r="739" customFormat="false" ht="15.75" hidden="true" customHeight="false" outlineLevel="0" collapsed="false">
      <c r="F739" s="9"/>
    </row>
    <row r="740" customFormat="false" ht="15.75" hidden="true" customHeight="false" outlineLevel="0" collapsed="false">
      <c r="F740" s="9"/>
    </row>
    <row r="741" customFormat="false" ht="15.75" hidden="true" customHeight="false" outlineLevel="0" collapsed="false">
      <c r="F741" s="9"/>
    </row>
    <row r="742" customFormat="false" ht="15.75" hidden="true" customHeight="false" outlineLevel="0" collapsed="false">
      <c r="F742" s="9"/>
    </row>
    <row r="743" customFormat="false" ht="15.75" hidden="true" customHeight="false" outlineLevel="0" collapsed="false">
      <c r="F743" s="9"/>
    </row>
    <row r="744" customFormat="false" ht="15.75" hidden="true" customHeight="false" outlineLevel="0" collapsed="false">
      <c r="F744" s="9"/>
    </row>
    <row r="745" customFormat="false" ht="15.75" hidden="true" customHeight="false" outlineLevel="0" collapsed="false">
      <c r="F745" s="9"/>
    </row>
    <row r="746" customFormat="false" ht="15.75" hidden="true" customHeight="false" outlineLevel="0" collapsed="false">
      <c r="F746" s="9"/>
    </row>
    <row r="747" customFormat="false" ht="15.75" hidden="true" customHeight="false" outlineLevel="0" collapsed="false">
      <c r="F747" s="9"/>
    </row>
    <row r="748" customFormat="false" ht="15.75" hidden="true" customHeight="false" outlineLevel="0" collapsed="false">
      <c r="F748" s="9"/>
    </row>
    <row r="749" customFormat="false" ht="15.75" hidden="true" customHeight="false" outlineLevel="0" collapsed="false">
      <c r="F749" s="9"/>
    </row>
    <row r="750" customFormat="false" ht="15.75" hidden="true" customHeight="false" outlineLevel="0" collapsed="false">
      <c r="F750" s="9"/>
    </row>
    <row r="751" customFormat="false" ht="15.75" hidden="true" customHeight="false" outlineLevel="0" collapsed="false">
      <c r="F751" s="9"/>
    </row>
    <row r="752" customFormat="false" ht="15.75" hidden="true" customHeight="false" outlineLevel="0" collapsed="false">
      <c r="F752" s="9"/>
    </row>
    <row r="753" customFormat="false" ht="15.75" hidden="true" customHeight="false" outlineLevel="0" collapsed="false">
      <c r="F753" s="9"/>
    </row>
    <row r="754" customFormat="false" ht="15.75" hidden="true" customHeight="false" outlineLevel="0" collapsed="false">
      <c r="F754" s="9"/>
    </row>
    <row r="755" customFormat="false" ht="15.75" hidden="true" customHeight="false" outlineLevel="0" collapsed="false">
      <c r="F755" s="9"/>
    </row>
    <row r="756" customFormat="false" ht="15.75" hidden="true" customHeight="false" outlineLevel="0" collapsed="false">
      <c r="F756" s="9"/>
    </row>
    <row r="757" customFormat="false" ht="15.75" hidden="true" customHeight="false" outlineLevel="0" collapsed="false">
      <c r="F757" s="9"/>
    </row>
    <row r="758" customFormat="false" ht="15.75" hidden="true" customHeight="false" outlineLevel="0" collapsed="false">
      <c r="F758" s="9"/>
    </row>
    <row r="759" customFormat="false" ht="15.75" hidden="true" customHeight="false" outlineLevel="0" collapsed="false">
      <c r="F759" s="9"/>
    </row>
    <row r="760" customFormat="false" ht="15.75" hidden="true" customHeight="false" outlineLevel="0" collapsed="false">
      <c r="F760" s="9"/>
    </row>
    <row r="761" customFormat="false" ht="15.75" hidden="true" customHeight="false" outlineLevel="0" collapsed="false">
      <c r="F761" s="9"/>
    </row>
    <row r="762" customFormat="false" ht="15.75" hidden="true" customHeight="false" outlineLevel="0" collapsed="false">
      <c r="F762" s="9"/>
    </row>
    <row r="763" customFormat="false" ht="15.75" hidden="true" customHeight="false" outlineLevel="0" collapsed="false">
      <c r="F763" s="9"/>
    </row>
    <row r="764" customFormat="false" ht="15.75" hidden="true" customHeight="false" outlineLevel="0" collapsed="false">
      <c r="F764" s="9"/>
    </row>
    <row r="765" customFormat="false" ht="15.75" hidden="true" customHeight="false" outlineLevel="0" collapsed="false">
      <c r="F765" s="9"/>
    </row>
    <row r="766" customFormat="false" ht="15.75" hidden="true" customHeight="false" outlineLevel="0" collapsed="false">
      <c r="F766" s="9"/>
    </row>
    <row r="767" customFormat="false" ht="15.75" hidden="true" customHeight="false" outlineLevel="0" collapsed="false">
      <c r="F767" s="9"/>
    </row>
    <row r="768" customFormat="false" ht="15.75" hidden="true" customHeight="false" outlineLevel="0" collapsed="false">
      <c r="F768" s="9"/>
    </row>
    <row r="769" customFormat="false" ht="15.75" hidden="true" customHeight="false" outlineLevel="0" collapsed="false">
      <c r="F769" s="9"/>
    </row>
    <row r="770" customFormat="false" ht="15.75" hidden="true" customHeight="false" outlineLevel="0" collapsed="false">
      <c r="F770" s="9"/>
    </row>
    <row r="771" customFormat="false" ht="15.75" hidden="true" customHeight="false" outlineLevel="0" collapsed="false">
      <c r="F771" s="9"/>
    </row>
    <row r="772" customFormat="false" ht="15.75" hidden="true" customHeight="false" outlineLevel="0" collapsed="false">
      <c r="F772" s="9"/>
    </row>
    <row r="773" customFormat="false" ht="15.75" hidden="true" customHeight="false" outlineLevel="0" collapsed="false">
      <c r="F773" s="9"/>
    </row>
    <row r="774" customFormat="false" ht="15.75" hidden="true" customHeight="false" outlineLevel="0" collapsed="false">
      <c r="F774" s="9"/>
    </row>
    <row r="775" customFormat="false" ht="15.75" hidden="true" customHeight="false" outlineLevel="0" collapsed="false">
      <c r="F775" s="9"/>
    </row>
    <row r="776" customFormat="false" ht="15.75" hidden="true" customHeight="false" outlineLevel="0" collapsed="false">
      <c r="F776" s="9"/>
    </row>
    <row r="777" customFormat="false" ht="15.75" hidden="true" customHeight="false" outlineLevel="0" collapsed="false">
      <c r="F777" s="9"/>
    </row>
    <row r="778" customFormat="false" ht="15.75" hidden="true" customHeight="false" outlineLevel="0" collapsed="false">
      <c r="F778" s="9"/>
    </row>
    <row r="779" customFormat="false" ht="15.75" hidden="true" customHeight="false" outlineLevel="0" collapsed="false">
      <c r="F779" s="9"/>
    </row>
    <row r="780" customFormat="false" ht="15.75" hidden="true" customHeight="false" outlineLevel="0" collapsed="false">
      <c r="F780" s="9"/>
    </row>
    <row r="781" customFormat="false" ht="15.75" hidden="true" customHeight="false" outlineLevel="0" collapsed="false">
      <c r="F781" s="9"/>
    </row>
    <row r="782" customFormat="false" ht="15.75" hidden="true" customHeight="false" outlineLevel="0" collapsed="false">
      <c r="F782" s="9"/>
    </row>
    <row r="783" customFormat="false" ht="15.75" hidden="true" customHeight="false" outlineLevel="0" collapsed="false">
      <c r="F783" s="9"/>
    </row>
    <row r="784" customFormat="false" ht="15.75" hidden="true" customHeight="false" outlineLevel="0" collapsed="false">
      <c r="F784" s="9"/>
    </row>
    <row r="785" customFormat="false" ht="15.75" hidden="true" customHeight="false" outlineLevel="0" collapsed="false">
      <c r="F785" s="9"/>
    </row>
    <row r="786" customFormat="false" ht="15.75" hidden="true" customHeight="false" outlineLevel="0" collapsed="false">
      <c r="F786" s="9"/>
    </row>
    <row r="787" customFormat="false" ht="15.75" hidden="true" customHeight="false" outlineLevel="0" collapsed="false">
      <c r="F787" s="9"/>
    </row>
    <row r="788" customFormat="false" ht="15.75" hidden="true" customHeight="false" outlineLevel="0" collapsed="false">
      <c r="F788" s="9"/>
    </row>
    <row r="789" customFormat="false" ht="15.75" hidden="true" customHeight="false" outlineLevel="0" collapsed="false">
      <c r="F789" s="9"/>
    </row>
    <row r="790" customFormat="false" ht="15.75" hidden="true" customHeight="false" outlineLevel="0" collapsed="false">
      <c r="F790" s="9"/>
    </row>
    <row r="791" customFormat="false" ht="15.75" hidden="true" customHeight="false" outlineLevel="0" collapsed="false">
      <c r="F791" s="9"/>
    </row>
    <row r="792" customFormat="false" ht="15.75" hidden="true" customHeight="false" outlineLevel="0" collapsed="false">
      <c r="F792" s="9"/>
    </row>
    <row r="793" customFormat="false" ht="15.75" hidden="true" customHeight="false" outlineLevel="0" collapsed="false">
      <c r="F793" s="9"/>
    </row>
    <row r="794" customFormat="false" ht="15.75" hidden="true" customHeight="false" outlineLevel="0" collapsed="false">
      <c r="F794" s="9"/>
    </row>
    <row r="795" customFormat="false" ht="15.75" hidden="true" customHeight="false" outlineLevel="0" collapsed="false">
      <c r="F795" s="9"/>
    </row>
    <row r="796" customFormat="false" ht="15.75" hidden="true" customHeight="false" outlineLevel="0" collapsed="false">
      <c r="F796" s="9"/>
    </row>
    <row r="797" customFormat="false" ht="15.75" hidden="true" customHeight="false" outlineLevel="0" collapsed="false">
      <c r="F797" s="9"/>
    </row>
    <row r="798" customFormat="false" ht="15.75" hidden="true" customHeight="false" outlineLevel="0" collapsed="false">
      <c r="F798" s="9"/>
    </row>
    <row r="799" customFormat="false" ht="15.75" hidden="true" customHeight="false" outlineLevel="0" collapsed="false">
      <c r="F799" s="9"/>
    </row>
    <row r="800" customFormat="false" ht="15.75" hidden="true" customHeight="false" outlineLevel="0" collapsed="false">
      <c r="F800" s="9"/>
    </row>
    <row r="801" customFormat="false" ht="15.75" hidden="true" customHeight="false" outlineLevel="0" collapsed="false">
      <c r="F801" s="9"/>
    </row>
    <row r="802" customFormat="false" ht="15.75" hidden="true" customHeight="false" outlineLevel="0" collapsed="false">
      <c r="F802" s="9"/>
    </row>
    <row r="803" customFormat="false" ht="15.75" hidden="true" customHeight="false" outlineLevel="0" collapsed="false">
      <c r="F803" s="9"/>
    </row>
    <row r="804" customFormat="false" ht="15.75" hidden="true" customHeight="false" outlineLevel="0" collapsed="false">
      <c r="F804" s="9"/>
    </row>
    <row r="805" customFormat="false" ht="15.75" hidden="true" customHeight="false" outlineLevel="0" collapsed="false">
      <c r="F805" s="9"/>
    </row>
    <row r="806" customFormat="false" ht="15.75" hidden="true" customHeight="false" outlineLevel="0" collapsed="false">
      <c r="F806" s="9"/>
    </row>
    <row r="807" customFormat="false" ht="15.75" hidden="true" customHeight="false" outlineLevel="0" collapsed="false">
      <c r="F807" s="9"/>
    </row>
    <row r="808" customFormat="false" ht="15.75" hidden="true" customHeight="false" outlineLevel="0" collapsed="false">
      <c r="F808" s="9"/>
    </row>
    <row r="809" customFormat="false" ht="15.75" hidden="true" customHeight="false" outlineLevel="0" collapsed="false">
      <c r="F809" s="9"/>
    </row>
    <row r="810" customFormat="false" ht="15.75" hidden="true" customHeight="false" outlineLevel="0" collapsed="false">
      <c r="F810" s="9"/>
    </row>
    <row r="811" customFormat="false" ht="15.75" hidden="true" customHeight="false" outlineLevel="0" collapsed="false">
      <c r="F811" s="9"/>
    </row>
    <row r="812" customFormat="false" ht="15.75" hidden="true" customHeight="false" outlineLevel="0" collapsed="false">
      <c r="F812" s="9"/>
    </row>
    <row r="813" customFormat="false" ht="15.75" hidden="true" customHeight="false" outlineLevel="0" collapsed="false">
      <c r="F813" s="9"/>
    </row>
    <row r="814" customFormat="false" ht="15.75" hidden="true" customHeight="false" outlineLevel="0" collapsed="false">
      <c r="F814" s="9"/>
    </row>
    <row r="815" customFormat="false" ht="15.75" hidden="true" customHeight="false" outlineLevel="0" collapsed="false">
      <c r="F815" s="9"/>
    </row>
    <row r="816" customFormat="false" ht="15.75" hidden="true" customHeight="false" outlineLevel="0" collapsed="false">
      <c r="F816" s="9"/>
    </row>
    <row r="817" customFormat="false" ht="15.75" hidden="true" customHeight="false" outlineLevel="0" collapsed="false">
      <c r="F817" s="9"/>
    </row>
    <row r="818" customFormat="false" ht="15.75" hidden="true" customHeight="false" outlineLevel="0" collapsed="false">
      <c r="F818" s="9"/>
    </row>
    <row r="819" customFormat="false" ht="15.75" hidden="true" customHeight="false" outlineLevel="0" collapsed="false">
      <c r="F819" s="9"/>
    </row>
    <row r="820" customFormat="false" ht="15.75" hidden="true" customHeight="false" outlineLevel="0" collapsed="false">
      <c r="F820" s="9"/>
    </row>
    <row r="821" customFormat="false" ht="15.75" hidden="true" customHeight="false" outlineLevel="0" collapsed="false">
      <c r="F821" s="9"/>
    </row>
    <row r="822" customFormat="false" ht="15.75" hidden="true" customHeight="false" outlineLevel="0" collapsed="false">
      <c r="F822" s="9"/>
    </row>
    <row r="823" customFormat="false" ht="15.75" hidden="true" customHeight="false" outlineLevel="0" collapsed="false">
      <c r="F823" s="9"/>
    </row>
    <row r="824" customFormat="false" ht="15.75" hidden="true" customHeight="false" outlineLevel="0" collapsed="false">
      <c r="F824" s="9"/>
    </row>
    <row r="825" customFormat="false" ht="15.75" hidden="true" customHeight="false" outlineLevel="0" collapsed="false">
      <c r="F825" s="9"/>
    </row>
    <row r="826" customFormat="false" ht="15.75" hidden="true" customHeight="false" outlineLevel="0" collapsed="false">
      <c r="F826" s="9"/>
    </row>
    <row r="827" customFormat="false" ht="15.75" hidden="true" customHeight="false" outlineLevel="0" collapsed="false">
      <c r="F827" s="9"/>
    </row>
    <row r="828" customFormat="false" ht="15.75" hidden="true" customHeight="false" outlineLevel="0" collapsed="false">
      <c r="F828" s="9"/>
    </row>
    <row r="829" customFormat="false" ht="15.75" hidden="true" customHeight="false" outlineLevel="0" collapsed="false">
      <c r="F829" s="9"/>
    </row>
    <row r="830" customFormat="false" ht="15.75" hidden="true" customHeight="false" outlineLevel="0" collapsed="false">
      <c r="F830" s="9"/>
    </row>
    <row r="831" customFormat="false" ht="15.75" hidden="true" customHeight="false" outlineLevel="0" collapsed="false">
      <c r="F831" s="9"/>
    </row>
    <row r="832" customFormat="false" ht="15.75" hidden="true" customHeight="false" outlineLevel="0" collapsed="false">
      <c r="F832" s="9"/>
    </row>
    <row r="833" customFormat="false" ht="15.75" hidden="true" customHeight="false" outlineLevel="0" collapsed="false">
      <c r="F833" s="9"/>
    </row>
    <row r="834" customFormat="false" ht="15.75" hidden="true" customHeight="false" outlineLevel="0" collapsed="false">
      <c r="F834" s="9"/>
    </row>
    <row r="835" customFormat="false" ht="15.75" hidden="true" customHeight="false" outlineLevel="0" collapsed="false">
      <c r="F835" s="9"/>
    </row>
    <row r="836" customFormat="false" ht="15.75" hidden="true" customHeight="false" outlineLevel="0" collapsed="false">
      <c r="F836" s="9"/>
    </row>
    <row r="837" customFormat="false" ht="15.75" hidden="true" customHeight="false" outlineLevel="0" collapsed="false">
      <c r="F837" s="9"/>
    </row>
    <row r="838" customFormat="false" ht="15.75" hidden="true" customHeight="false" outlineLevel="0" collapsed="false">
      <c r="F838" s="9"/>
    </row>
    <row r="839" customFormat="false" ht="15.75" hidden="true" customHeight="false" outlineLevel="0" collapsed="false">
      <c r="F839" s="9"/>
    </row>
    <row r="840" customFormat="false" ht="15.75" hidden="true" customHeight="false" outlineLevel="0" collapsed="false">
      <c r="F840" s="9"/>
    </row>
    <row r="841" customFormat="false" ht="15.75" hidden="true" customHeight="false" outlineLevel="0" collapsed="false">
      <c r="F841" s="9"/>
    </row>
    <row r="842" customFormat="false" ht="15.75" hidden="true" customHeight="false" outlineLevel="0" collapsed="false">
      <c r="F842" s="9"/>
    </row>
    <row r="843" customFormat="false" ht="15.75" hidden="true" customHeight="false" outlineLevel="0" collapsed="false">
      <c r="F843" s="9"/>
    </row>
    <row r="844" customFormat="false" ht="15.75" hidden="true" customHeight="false" outlineLevel="0" collapsed="false">
      <c r="F844" s="9"/>
    </row>
    <row r="845" customFormat="false" ht="15.75" hidden="true" customHeight="false" outlineLevel="0" collapsed="false">
      <c r="F845" s="9"/>
    </row>
    <row r="846" customFormat="false" ht="15.75" hidden="true" customHeight="false" outlineLevel="0" collapsed="false">
      <c r="F846" s="9"/>
    </row>
    <row r="847" customFormat="false" ht="15.75" hidden="true" customHeight="false" outlineLevel="0" collapsed="false">
      <c r="F847" s="9"/>
    </row>
    <row r="848" customFormat="false" ht="15.75" hidden="true" customHeight="false" outlineLevel="0" collapsed="false">
      <c r="F848" s="9"/>
    </row>
    <row r="849" customFormat="false" ht="15.75" hidden="true" customHeight="false" outlineLevel="0" collapsed="false">
      <c r="F849" s="9"/>
    </row>
    <row r="850" customFormat="false" ht="15.75" hidden="true" customHeight="false" outlineLevel="0" collapsed="false">
      <c r="F850" s="9"/>
    </row>
    <row r="851" customFormat="false" ht="15.75" hidden="true" customHeight="false" outlineLevel="0" collapsed="false">
      <c r="F851" s="9"/>
    </row>
    <row r="852" customFormat="false" ht="15.75" hidden="true" customHeight="false" outlineLevel="0" collapsed="false">
      <c r="F852" s="9"/>
    </row>
    <row r="853" customFormat="false" ht="15.75" hidden="true" customHeight="false" outlineLevel="0" collapsed="false">
      <c r="F853" s="9"/>
    </row>
    <row r="854" customFormat="false" ht="15.75" hidden="true" customHeight="false" outlineLevel="0" collapsed="false">
      <c r="F854" s="9"/>
    </row>
    <row r="855" customFormat="false" ht="15.75" hidden="true" customHeight="false" outlineLevel="0" collapsed="false">
      <c r="F855" s="9"/>
    </row>
    <row r="856" customFormat="false" ht="15.75" hidden="true" customHeight="false" outlineLevel="0" collapsed="false">
      <c r="F856" s="9"/>
    </row>
    <row r="857" customFormat="false" ht="15.75" hidden="true" customHeight="false" outlineLevel="0" collapsed="false">
      <c r="F857" s="9"/>
    </row>
    <row r="858" customFormat="false" ht="15.75" hidden="true" customHeight="false" outlineLevel="0" collapsed="false">
      <c r="F858" s="9"/>
    </row>
    <row r="859" customFormat="false" ht="15.75" hidden="true" customHeight="false" outlineLevel="0" collapsed="false">
      <c r="F859" s="9"/>
    </row>
    <row r="860" customFormat="false" ht="15.75" hidden="true" customHeight="false" outlineLevel="0" collapsed="false">
      <c r="F860" s="9"/>
    </row>
    <row r="861" customFormat="false" ht="15.75" hidden="true" customHeight="false" outlineLevel="0" collapsed="false">
      <c r="F861" s="9"/>
    </row>
    <row r="862" customFormat="false" ht="15.75" hidden="true" customHeight="false" outlineLevel="0" collapsed="false">
      <c r="F862" s="9"/>
    </row>
    <row r="863" customFormat="false" ht="15.75" hidden="true" customHeight="false" outlineLevel="0" collapsed="false">
      <c r="F863" s="9"/>
    </row>
    <row r="864" customFormat="false" ht="15.75" hidden="true" customHeight="false" outlineLevel="0" collapsed="false">
      <c r="F864" s="9"/>
    </row>
    <row r="865" customFormat="false" ht="15.75" hidden="true" customHeight="false" outlineLevel="0" collapsed="false">
      <c r="F865" s="9"/>
    </row>
    <row r="866" customFormat="false" ht="15.75" hidden="true" customHeight="false" outlineLevel="0" collapsed="false">
      <c r="F866" s="9"/>
    </row>
    <row r="867" customFormat="false" ht="15.75" hidden="true" customHeight="false" outlineLevel="0" collapsed="false">
      <c r="F867" s="9"/>
    </row>
    <row r="868" customFormat="false" ht="15.75" hidden="true" customHeight="false" outlineLevel="0" collapsed="false">
      <c r="F868" s="9"/>
    </row>
    <row r="869" customFormat="false" ht="15.75" hidden="true" customHeight="false" outlineLevel="0" collapsed="false">
      <c r="F869" s="9"/>
    </row>
    <row r="870" customFormat="false" ht="15.75" hidden="true" customHeight="false" outlineLevel="0" collapsed="false">
      <c r="F870" s="9"/>
    </row>
    <row r="871" customFormat="false" ht="15.75" hidden="true" customHeight="false" outlineLevel="0" collapsed="false">
      <c r="F871" s="9"/>
    </row>
    <row r="872" customFormat="false" ht="15.75" hidden="true" customHeight="false" outlineLevel="0" collapsed="false">
      <c r="F872" s="9"/>
    </row>
    <row r="873" customFormat="false" ht="15.75" hidden="true" customHeight="false" outlineLevel="0" collapsed="false">
      <c r="F873" s="9"/>
    </row>
    <row r="874" customFormat="false" ht="15.75" hidden="true" customHeight="false" outlineLevel="0" collapsed="false">
      <c r="F874" s="9"/>
    </row>
    <row r="875" customFormat="false" ht="15.75" hidden="true" customHeight="false" outlineLevel="0" collapsed="false">
      <c r="F875" s="9"/>
    </row>
    <row r="876" customFormat="false" ht="15.75" hidden="true" customHeight="false" outlineLevel="0" collapsed="false">
      <c r="F876" s="9"/>
    </row>
    <row r="877" customFormat="false" ht="15.75" hidden="true" customHeight="false" outlineLevel="0" collapsed="false">
      <c r="F877" s="9"/>
    </row>
    <row r="878" customFormat="false" ht="15.75" hidden="true" customHeight="false" outlineLevel="0" collapsed="false">
      <c r="F878" s="9"/>
    </row>
    <row r="879" customFormat="false" ht="15.75" hidden="true" customHeight="false" outlineLevel="0" collapsed="false">
      <c r="F879" s="9"/>
    </row>
    <row r="880" customFormat="false" ht="15.75" hidden="true" customHeight="false" outlineLevel="0" collapsed="false">
      <c r="F880" s="9"/>
    </row>
    <row r="881" customFormat="false" ht="15.75" hidden="true" customHeight="false" outlineLevel="0" collapsed="false">
      <c r="F881" s="9"/>
    </row>
    <row r="882" customFormat="false" ht="15.75" hidden="true" customHeight="false" outlineLevel="0" collapsed="false">
      <c r="F882" s="9"/>
    </row>
    <row r="883" customFormat="false" ht="15.75" hidden="true" customHeight="false" outlineLevel="0" collapsed="false">
      <c r="F883" s="9"/>
    </row>
    <row r="884" customFormat="false" ht="15.75" hidden="true" customHeight="false" outlineLevel="0" collapsed="false">
      <c r="F884" s="9"/>
    </row>
    <row r="885" customFormat="false" ht="15.75" hidden="true" customHeight="false" outlineLevel="0" collapsed="false">
      <c r="F885" s="9"/>
    </row>
    <row r="886" customFormat="false" ht="15.75" hidden="true" customHeight="false" outlineLevel="0" collapsed="false">
      <c r="F886" s="9"/>
    </row>
    <row r="887" customFormat="false" ht="15.75" hidden="true" customHeight="false" outlineLevel="0" collapsed="false">
      <c r="F887" s="9"/>
    </row>
    <row r="888" customFormat="false" ht="15.75" hidden="true" customHeight="false" outlineLevel="0" collapsed="false">
      <c r="F888" s="9"/>
    </row>
    <row r="889" customFormat="false" ht="15.75" hidden="true" customHeight="false" outlineLevel="0" collapsed="false">
      <c r="F889" s="9"/>
    </row>
    <row r="890" customFormat="false" ht="15.75" hidden="true" customHeight="false" outlineLevel="0" collapsed="false">
      <c r="F890" s="9"/>
    </row>
    <row r="891" customFormat="false" ht="15.75" hidden="true" customHeight="false" outlineLevel="0" collapsed="false">
      <c r="F891" s="9"/>
    </row>
    <row r="892" customFormat="false" ht="15.75" hidden="true" customHeight="false" outlineLevel="0" collapsed="false">
      <c r="F892" s="9"/>
    </row>
    <row r="893" customFormat="false" ht="15.75" hidden="true" customHeight="false" outlineLevel="0" collapsed="false">
      <c r="F893" s="9"/>
    </row>
    <row r="894" customFormat="false" ht="15.75" hidden="true" customHeight="false" outlineLevel="0" collapsed="false">
      <c r="F894" s="9"/>
    </row>
    <row r="895" customFormat="false" ht="15.75" hidden="true" customHeight="false" outlineLevel="0" collapsed="false">
      <c r="F895" s="9"/>
    </row>
    <row r="896" customFormat="false" ht="15.75" hidden="true" customHeight="false" outlineLevel="0" collapsed="false">
      <c r="F896" s="9"/>
    </row>
    <row r="897" customFormat="false" ht="15.75" hidden="true" customHeight="false" outlineLevel="0" collapsed="false">
      <c r="F897" s="9"/>
    </row>
    <row r="898" customFormat="false" ht="15.75" hidden="true" customHeight="false" outlineLevel="0" collapsed="false">
      <c r="F898" s="9"/>
    </row>
    <row r="899" customFormat="false" ht="15.75" hidden="true" customHeight="false" outlineLevel="0" collapsed="false">
      <c r="F899" s="9"/>
    </row>
    <row r="900" customFormat="false" ht="15.75" hidden="true" customHeight="false" outlineLevel="0" collapsed="false">
      <c r="F900" s="9"/>
    </row>
    <row r="901" customFormat="false" ht="15.75" hidden="true" customHeight="false" outlineLevel="0" collapsed="false">
      <c r="F901" s="9"/>
    </row>
    <row r="902" customFormat="false" ht="15.75" hidden="true" customHeight="false" outlineLevel="0" collapsed="false">
      <c r="F902" s="9"/>
    </row>
    <row r="903" customFormat="false" ht="15.75" hidden="true" customHeight="false" outlineLevel="0" collapsed="false">
      <c r="F903" s="9"/>
    </row>
    <row r="904" customFormat="false" ht="15.75" hidden="true" customHeight="false" outlineLevel="0" collapsed="false">
      <c r="F904" s="9"/>
    </row>
    <row r="905" customFormat="false" ht="15.75" hidden="true" customHeight="false" outlineLevel="0" collapsed="false">
      <c r="F905" s="9"/>
    </row>
    <row r="906" customFormat="false" ht="15.75" hidden="true" customHeight="false" outlineLevel="0" collapsed="false">
      <c r="F906" s="9"/>
    </row>
    <row r="907" customFormat="false" ht="15.75" hidden="true" customHeight="false" outlineLevel="0" collapsed="false">
      <c r="F907" s="9"/>
    </row>
    <row r="908" customFormat="false" ht="15.75" hidden="true" customHeight="false" outlineLevel="0" collapsed="false">
      <c r="F908" s="9"/>
    </row>
    <row r="909" customFormat="false" ht="15.75" hidden="true" customHeight="false" outlineLevel="0" collapsed="false">
      <c r="F909" s="9"/>
    </row>
    <row r="910" customFormat="false" ht="15.75" hidden="true" customHeight="false" outlineLevel="0" collapsed="false">
      <c r="F910" s="9"/>
    </row>
    <row r="911" customFormat="false" ht="15.75" hidden="true" customHeight="false" outlineLevel="0" collapsed="false">
      <c r="F911" s="9"/>
    </row>
    <row r="912" customFormat="false" ht="15.75" hidden="true" customHeight="false" outlineLevel="0" collapsed="false">
      <c r="F912" s="9"/>
    </row>
    <row r="913" customFormat="false" ht="15.75" hidden="true" customHeight="false" outlineLevel="0" collapsed="false">
      <c r="F913" s="9"/>
    </row>
    <row r="914" customFormat="false" ht="15.75" hidden="true" customHeight="false" outlineLevel="0" collapsed="false">
      <c r="F914" s="9"/>
    </row>
    <row r="915" customFormat="false" ht="15.75" hidden="true" customHeight="false" outlineLevel="0" collapsed="false">
      <c r="F915" s="9"/>
    </row>
    <row r="916" customFormat="false" ht="15.75" hidden="true" customHeight="false" outlineLevel="0" collapsed="false">
      <c r="F916" s="9"/>
    </row>
    <row r="917" customFormat="false" ht="15.75" hidden="true" customHeight="false" outlineLevel="0" collapsed="false">
      <c r="F917" s="9"/>
    </row>
    <row r="918" customFormat="false" ht="15.75" hidden="true" customHeight="false" outlineLevel="0" collapsed="false">
      <c r="F918" s="9"/>
    </row>
    <row r="919" customFormat="false" ht="15.75" hidden="true" customHeight="false" outlineLevel="0" collapsed="false">
      <c r="F919" s="9"/>
    </row>
    <row r="920" customFormat="false" ht="15.75" hidden="true" customHeight="false" outlineLevel="0" collapsed="false">
      <c r="F920" s="9"/>
    </row>
    <row r="921" customFormat="false" ht="15.75" hidden="true" customHeight="false" outlineLevel="0" collapsed="false">
      <c r="F921" s="9"/>
    </row>
    <row r="922" customFormat="false" ht="15.75" hidden="true" customHeight="false" outlineLevel="0" collapsed="false">
      <c r="F922" s="9"/>
    </row>
    <row r="923" customFormat="false" ht="15.75" hidden="true" customHeight="false" outlineLevel="0" collapsed="false">
      <c r="F923" s="9"/>
    </row>
    <row r="924" customFormat="false" ht="15.75" hidden="true" customHeight="false" outlineLevel="0" collapsed="false">
      <c r="F924" s="9"/>
    </row>
    <row r="925" customFormat="false" ht="15.75" hidden="true" customHeight="false" outlineLevel="0" collapsed="false">
      <c r="F925" s="9"/>
    </row>
    <row r="926" customFormat="false" ht="15.75" hidden="true" customHeight="false" outlineLevel="0" collapsed="false">
      <c r="F926" s="9"/>
    </row>
    <row r="927" customFormat="false" ht="15.75" hidden="true" customHeight="false" outlineLevel="0" collapsed="false">
      <c r="F927" s="9"/>
    </row>
    <row r="928" customFormat="false" ht="15.75" hidden="true" customHeight="false" outlineLevel="0" collapsed="false">
      <c r="F928" s="9"/>
    </row>
    <row r="929" customFormat="false" ht="15.75" hidden="true" customHeight="false" outlineLevel="0" collapsed="false">
      <c r="F929" s="9"/>
    </row>
    <row r="930" customFormat="false" ht="15.75" hidden="true" customHeight="false" outlineLevel="0" collapsed="false">
      <c r="F930" s="9"/>
    </row>
    <row r="931" customFormat="false" ht="15.75" hidden="true" customHeight="false" outlineLevel="0" collapsed="false">
      <c r="F931" s="9"/>
    </row>
    <row r="932" customFormat="false" ht="15.75" hidden="true" customHeight="false" outlineLevel="0" collapsed="false">
      <c r="F932" s="9"/>
    </row>
    <row r="933" customFormat="false" ht="15.75" hidden="true" customHeight="false" outlineLevel="0" collapsed="false">
      <c r="F933" s="9"/>
    </row>
    <row r="934" customFormat="false" ht="15.75" hidden="true" customHeight="false" outlineLevel="0" collapsed="false">
      <c r="F934" s="9"/>
    </row>
    <row r="935" customFormat="false" ht="15.75" hidden="true" customHeight="false" outlineLevel="0" collapsed="false">
      <c r="F935" s="9"/>
    </row>
    <row r="936" customFormat="false" ht="15.75" hidden="true" customHeight="false" outlineLevel="0" collapsed="false">
      <c r="F936" s="9"/>
    </row>
    <row r="937" customFormat="false" ht="15.75" hidden="true" customHeight="false" outlineLevel="0" collapsed="false">
      <c r="F937" s="9"/>
    </row>
    <row r="938" customFormat="false" ht="15.75" hidden="true" customHeight="false" outlineLevel="0" collapsed="false">
      <c r="F938" s="9"/>
    </row>
    <row r="939" customFormat="false" ht="15.75" hidden="true" customHeight="false" outlineLevel="0" collapsed="false">
      <c r="F939" s="9"/>
    </row>
    <row r="940" customFormat="false" ht="15.75" hidden="true" customHeight="false" outlineLevel="0" collapsed="false">
      <c r="F940" s="9"/>
    </row>
    <row r="941" customFormat="false" ht="15.75" hidden="true" customHeight="false" outlineLevel="0" collapsed="false">
      <c r="F941" s="9"/>
    </row>
    <row r="942" customFormat="false" ht="15.75" hidden="true" customHeight="false" outlineLevel="0" collapsed="false">
      <c r="F942" s="9"/>
    </row>
    <row r="943" customFormat="false" ht="15.75" hidden="true" customHeight="false" outlineLevel="0" collapsed="false">
      <c r="F943" s="9"/>
    </row>
    <row r="944" customFormat="false" ht="15.75" hidden="true" customHeight="false" outlineLevel="0" collapsed="false">
      <c r="F944" s="9"/>
    </row>
    <row r="945" customFormat="false" ht="15.75" hidden="true" customHeight="false" outlineLevel="0" collapsed="false">
      <c r="F945" s="9"/>
    </row>
    <row r="946" customFormat="false" ht="15.75" hidden="true" customHeight="false" outlineLevel="0" collapsed="false">
      <c r="F946" s="9"/>
    </row>
    <row r="947" customFormat="false" ht="15.75" hidden="true" customHeight="false" outlineLevel="0" collapsed="false">
      <c r="F947" s="9"/>
    </row>
    <row r="948" customFormat="false" ht="15.75" hidden="true" customHeight="false" outlineLevel="0" collapsed="false">
      <c r="F948" s="9"/>
    </row>
    <row r="949" customFormat="false" ht="15.75" hidden="true" customHeight="false" outlineLevel="0" collapsed="false">
      <c r="F949" s="9"/>
    </row>
    <row r="950" customFormat="false" ht="15.75" hidden="true" customHeight="false" outlineLevel="0" collapsed="false">
      <c r="F950" s="9"/>
    </row>
    <row r="951" customFormat="false" ht="15.75" hidden="true" customHeight="false" outlineLevel="0" collapsed="false">
      <c r="F951" s="9"/>
    </row>
    <row r="952" customFormat="false" ht="15.75" hidden="true" customHeight="false" outlineLevel="0" collapsed="false">
      <c r="F952" s="9"/>
    </row>
    <row r="953" customFormat="false" ht="15.75" hidden="true" customHeight="false" outlineLevel="0" collapsed="false">
      <c r="F953" s="9"/>
    </row>
    <row r="954" customFormat="false" ht="15.75" hidden="true" customHeight="false" outlineLevel="0" collapsed="false">
      <c r="F954" s="9"/>
    </row>
    <row r="955" customFormat="false" ht="15.75" hidden="true" customHeight="false" outlineLevel="0" collapsed="false">
      <c r="F955" s="9"/>
    </row>
    <row r="956" customFormat="false" ht="15.75" hidden="true" customHeight="false" outlineLevel="0" collapsed="false">
      <c r="F956" s="9"/>
    </row>
    <row r="957" customFormat="false" ht="15.75" hidden="true" customHeight="false" outlineLevel="0" collapsed="false">
      <c r="F957" s="9"/>
    </row>
    <row r="958" customFormat="false" ht="15.75" hidden="true" customHeight="false" outlineLevel="0" collapsed="false">
      <c r="F958" s="9"/>
    </row>
    <row r="959" customFormat="false" ht="15.75" hidden="true" customHeight="false" outlineLevel="0" collapsed="false">
      <c r="F959" s="9"/>
    </row>
    <row r="960" customFormat="false" ht="15.75" hidden="true" customHeight="false" outlineLevel="0" collapsed="false">
      <c r="F960" s="9"/>
    </row>
    <row r="961" customFormat="false" ht="15.75" hidden="true" customHeight="false" outlineLevel="0" collapsed="false">
      <c r="F961" s="9"/>
    </row>
    <row r="962" customFormat="false" ht="15.75" hidden="true" customHeight="false" outlineLevel="0" collapsed="false">
      <c r="F962" s="9"/>
    </row>
    <row r="963" customFormat="false" ht="15.75" hidden="true" customHeight="false" outlineLevel="0" collapsed="false">
      <c r="F963" s="9"/>
    </row>
    <row r="964" customFormat="false" ht="15.75" hidden="true" customHeight="false" outlineLevel="0" collapsed="false">
      <c r="F964" s="9"/>
    </row>
    <row r="965" customFormat="false" ht="15.75" hidden="true" customHeight="false" outlineLevel="0" collapsed="false">
      <c r="F965" s="9"/>
    </row>
    <row r="966" customFormat="false" ht="15.75" hidden="true" customHeight="false" outlineLevel="0" collapsed="false">
      <c r="F966" s="9"/>
    </row>
    <row r="967" customFormat="false" ht="15.75" hidden="true" customHeight="false" outlineLevel="0" collapsed="false">
      <c r="F967" s="9"/>
    </row>
    <row r="968" customFormat="false" ht="15.75" hidden="true" customHeight="false" outlineLevel="0" collapsed="false">
      <c r="F968" s="9"/>
    </row>
    <row r="969" customFormat="false" ht="15.75" hidden="true" customHeight="false" outlineLevel="0" collapsed="false">
      <c r="F969" s="9"/>
    </row>
    <row r="970" customFormat="false" ht="15.75" hidden="true" customHeight="false" outlineLevel="0" collapsed="false">
      <c r="F970" s="9"/>
    </row>
    <row r="971" customFormat="false" ht="15.75" hidden="true" customHeight="false" outlineLevel="0" collapsed="false">
      <c r="F971" s="9"/>
    </row>
    <row r="972" customFormat="false" ht="15.75" hidden="true" customHeight="false" outlineLevel="0" collapsed="false">
      <c r="F972" s="9"/>
    </row>
    <row r="973" customFormat="false" ht="15.75" hidden="true" customHeight="false" outlineLevel="0" collapsed="false">
      <c r="F973" s="9"/>
    </row>
    <row r="974" customFormat="false" ht="15.75" hidden="true" customHeight="false" outlineLevel="0" collapsed="false">
      <c r="F974" s="9"/>
    </row>
    <row r="975" customFormat="false" ht="15.75" hidden="true" customHeight="false" outlineLevel="0" collapsed="false">
      <c r="F975" s="9"/>
    </row>
    <row r="976" customFormat="false" ht="15.75" hidden="true" customHeight="false" outlineLevel="0" collapsed="false">
      <c r="F976" s="9"/>
    </row>
    <row r="977" customFormat="false" ht="15.75" hidden="true" customHeight="false" outlineLevel="0" collapsed="false">
      <c r="F977" s="9"/>
    </row>
    <row r="978" customFormat="false" ht="15.75" hidden="true" customHeight="false" outlineLevel="0" collapsed="false">
      <c r="F978" s="9"/>
    </row>
    <row r="979" customFormat="false" ht="15.75" hidden="true" customHeight="false" outlineLevel="0" collapsed="false">
      <c r="F979" s="9"/>
    </row>
    <row r="980" customFormat="false" ht="15.75" hidden="true" customHeight="false" outlineLevel="0" collapsed="false">
      <c r="F980" s="9"/>
    </row>
    <row r="981" customFormat="false" ht="15.75" hidden="true" customHeight="false" outlineLevel="0" collapsed="false">
      <c r="F981" s="9"/>
    </row>
    <row r="982" customFormat="false" ht="15.75" hidden="true" customHeight="false" outlineLevel="0" collapsed="false">
      <c r="F982" s="9"/>
    </row>
    <row r="983" customFormat="false" ht="15.75" hidden="true" customHeight="false" outlineLevel="0" collapsed="false">
      <c r="F983" s="9"/>
    </row>
    <row r="984" customFormat="false" ht="15.75" hidden="true" customHeight="false" outlineLevel="0" collapsed="false">
      <c r="F984" s="9"/>
    </row>
    <row r="985" customFormat="false" ht="15.75" hidden="true" customHeight="false" outlineLevel="0" collapsed="false">
      <c r="F985" s="9"/>
    </row>
    <row r="986" customFormat="false" ht="15.75" hidden="true" customHeight="false" outlineLevel="0" collapsed="false">
      <c r="F986" s="9"/>
    </row>
    <row r="987" customFormat="false" ht="15.75" hidden="true" customHeight="false" outlineLevel="0" collapsed="false">
      <c r="F987" s="9"/>
    </row>
    <row r="988" customFormat="false" ht="15.75" hidden="true" customHeight="false" outlineLevel="0" collapsed="false">
      <c r="F988" s="9"/>
    </row>
    <row r="989" customFormat="false" ht="15.75" hidden="true" customHeight="false" outlineLevel="0" collapsed="false">
      <c r="F989" s="9"/>
    </row>
    <row r="990" customFormat="false" ht="15.75" hidden="true" customHeight="false" outlineLevel="0" collapsed="false">
      <c r="F990" s="9"/>
    </row>
    <row r="991" customFormat="false" ht="15.75" hidden="true" customHeight="false" outlineLevel="0" collapsed="false">
      <c r="F991" s="9"/>
    </row>
    <row r="992" customFormat="false" ht="15.75" hidden="true" customHeight="false" outlineLevel="0" collapsed="false">
      <c r="F992" s="9"/>
    </row>
    <row r="993" customFormat="false" ht="15.75" hidden="true" customHeight="false" outlineLevel="0" collapsed="false">
      <c r="F993" s="9"/>
    </row>
    <row r="994" customFormat="false" ht="15.75" hidden="true" customHeight="false" outlineLevel="0" collapsed="false">
      <c r="F994" s="9"/>
    </row>
    <row r="995" customFormat="false" ht="15.75" hidden="true" customHeight="false" outlineLevel="0" collapsed="false">
      <c r="F995" s="9"/>
    </row>
    <row r="996" customFormat="false" ht="15.75" hidden="true" customHeight="false" outlineLevel="0" collapsed="false">
      <c r="F996" s="9"/>
    </row>
    <row r="997" customFormat="false" ht="15.75" hidden="true" customHeight="false" outlineLevel="0" collapsed="false">
      <c r="F997" s="9"/>
    </row>
    <row r="998" customFormat="false" ht="15.75" hidden="true" customHeight="false" outlineLevel="0" collapsed="false">
      <c r="F998" s="9"/>
    </row>
    <row r="999" customFormat="false" ht="15.75" hidden="true" customHeight="false" outlineLevel="0" collapsed="false">
      <c r="F999" s="9"/>
    </row>
    <row r="1000" customFormat="false" ht="15.75" hidden="true" customHeight="false" outlineLevel="0" collapsed="false">
      <c r="F1000" s="9"/>
    </row>
    <row r="1001" customFormat="false" ht="15.75" hidden="true" customHeight="false" outlineLevel="0" collapsed="false">
      <c r="F1001" s="9"/>
    </row>
    <row r="1002" customFormat="false" ht="15.75" hidden="true" customHeight="false" outlineLevel="0" collapsed="false">
      <c r="F1002" s="9"/>
    </row>
    <row r="1003" customFormat="false" ht="15.75" hidden="true" customHeight="false" outlineLevel="0" collapsed="false">
      <c r="F1003" s="9"/>
    </row>
    <row r="1004" customFormat="false" ht="15.75" hidden="true" customHeight="false" outlineLevel="0" collapsed="false">
      <c r="F1004" s="9"/>
    </row>
  </sheetData>
  <autoFilter ref="N1:N1004">
    <filterColumn colId="0">
      <filters>
        <filter val="TRUE"/>
        <filter val="FALSE"/>
      </filters>
    </filterColumn>
  </autoFilter>
  <hyperlinks>
    <hyperlink ref="R2" r:id="rId1" display="https://boardgamegeek.com/boardgame/171/chess"/>
    <hyperlink ref="R3" r:id="rId2" display="https://boardgamegeek.com/boardgame/31260/agricola"/>
    <hyperlink ref="R4" r:id="rId3" display="https://boardgamegeek.com/boardgame/42/tigris-euphrates"/>
    <hyperlink ref="R5" r:id="rId4" display="https://boardgamegeek.com/boardgame/2651/power-grid"/>
    <hyperlink ref="R6" r:id="rId5" display="https://boardgamegeek.com/boardgame/104006/village"/>
    <hyperlink ref="R7" r:id="rId6" display="https://boardgamegeek.com/boardgame/367272/puerto-rico-1897"/>
    <hyperlink ref="R8" r:id="rId7" display="https://boardgamegeek.com/boardgame/199792/everdell"/>
    <hyperlink ref="R9" r:id="rId8" display="https://boardgamegeek.com/boardgame/266192/wingspan"/>
    <hyperlink ref="R10" r:id="rId9" display="https://boardgamegeek.com/boardgame/66056/rivals-catan"/>
    <hyperlink ref="R11" r:id="rId10" display="https://boardgamegeek.com/boardgame/8217/san-juan"/>
    <hyperlink ref="R12" r:id="rId11" display="https://boardgamegeek.com/boardgame/466/inkognito"/>
    <hyperlink ref="R13" r:id="rId12" display="https://boardgamegeek.com/boardgame/17104/canasta"/>
    <hyperlink ref="R14" r:id="rId13" display="https://boardgamegeek.com/boardgame/122/quo-vadis"/>
    <hyperlink ref="R15" r:id="rId14" display="https://boardgamegeek.com/boardgame/320/scrabble"/>
    <hyperlink ref="R16" r:id="rId15" display="https://boardgamegeek.com/boardgame/373106/sky-team"/>
    <hyperlink ref="R17" r:id="rId16" display="https://boardgamegeek.com/boardgame/136063/forbidden-desert/versions?pageid=1&amp;language=2188"/>
    <hyperlink ref="R18" r:id="rId17" display="https://boardgamegeek.com/boardgame/2397/backgammon"/>
    <hyperlink ref="R19" r:id="rId18" display="https://boardgamegeek.com/boardgame/295486/my-city"/>
    <hyperlink ref="R20" r:id="rId19" display="https://boardgamegeek.com/boardgame/16719/manhattan"/>
    <hyperlink ref="R21" r:id="rId20" display="https://boardgamegeek.com/boardgame/110/auf-achse"/>
    <hyperlink ref="R22" r:id="rId21" display="https://boardgamegeek.com/boardgame/424774/dorfromantik-sakura"/>
    <hyperlink ref="R23" r:id="rId22" display="https://boardgamegeek.com/boardgame/284083/the-crew-the-quest-for-planet-nine"/>
    <hyperlink ref="R24" r:id="rId23" display="https://boardgamegeek.com/boardgame/413246/bomb-busters"/>
    <hyperlink ref="R25" r:id="rId24" display="https://boardgamegeek.com/boardgameexpansion/30746/ticket-ride-switzerland"/>
    <hyperlink ref="R26" r:id="rId25" display="https://boardgamegeek.com/boardgame/199561/sagrada"/>
    <hyperlink ref="R27" r:id="rId26" display="https://boardgamegeek.com/boardgame/2499/equate"/>
    <hyperlink ref="R28" r:id="rId27" display="https://boardgamegeek.com/boardgame/14996/ticket-ride-europe"/>
    <hyperlink ref="R29" r:id="rId28" display="https://boardgamegeek.com/boardgame/697/conspiracy"/>
    <hyperlink ref="R30" r:id="rId29" display="https://boardgamegeek.com/boardgame/2398/cribbage"/>
    <hyperlink ref="R31" r:id="rId30" display="https://boardgamegeek.com/boardgame/822/carcassonne"/>
    <hyperlink ref="R32" r:id="rId31" display="https://boardgamegeek.com/boardgame/263918/cartographers"/>
    <hyperlink ref="R33" r:id="rId32" display="https://boardgamegeek.com/boardgame/120/hoity-toity"/>
    <hyperlink ref="R34" r:id="rId33" display="https://boardgamegeek.com/boardgame/284435/nova-luna"/>
    <hyperlink ref="R35" r:id="rId34" display="https://boardgamegeek.com/boardgame/2266/gobblet"/>
    <hyperlink ref="R36" r:id="rId35" display="https://boardgamegeek.com/boardgame/295947/cascadia"/>
    <hyperlink ref="R37" r:id="rId36" display="https://boardgamegeek.com/boardgame/9209/ticket-ride"/>
    <hyperlink ref="R38" r:id="rId37" display="https://boardgamegeek.com/boardgame/158899/colt-express"/>
    <hyperlink ref="R39" r:id="rId38" display="https://boardgamegeek.com/boardgame/148228/splendor"/>
    <hyperlink ref="R40" r:id="rId39" display="https://boardgamegeek.com/boardgame/230802/azul"/>
    <hyperlink ref="R41" r:id="rId40" display="https://boardgamegeek.com/boardgame/2453/blokus"/>
    <hyperlink ref="R42" r:id="rId41" display="https://boardgamegeek.com/boardgame/811/rummikub"/>
    <hyperlink ref="R43" r:id="rId42" display="https://boardgamegeek.com/boardgame/342016/tetris"/>
    <hyperlink ref="R44" r:id="rId43" display="https://boardgamegeek.com/boardgame/140933/blueprints"/>
    <hyperlink ref="R45" r:id="rId44" display="https://boardgamegeek.com/boardgame/98778/hanabi"/>
    <hyperlink ref="R46" r:id="rId45" display="https://boardgamegeek.com/boardgame/150145/skull-king"/>
    <hyperlink ref="R47" r:id="rId46" display="https://boardgamegeek.com/boardgame/370591/dorfromantik-board-game"/>
    <hyperlink ref="R48" r:id="rId47" display="https://boardgamegeek.com/boardgame/11/bohnanza"/>
    <hyperlink ref="R49" r:id="rId48" display="https://boardgamegeek.com/boardgame/214/cafe-international"/>
    <hyperlink ref="R51" r:id="rId49" display="https://boardgamegeek.com/boardgame/25669/qwirkle"/>
    <hyperlink ref="R52" r:id="rId50" display="https://boardgamegeek.com/boardgame/8829/nobody-perfect"/>
    <hyperlink ref="R53" r:id="rId51" display="https://boardgamegeek.com/boardgame/125921/catan-junior"/>
    <hyperlink ref="R54" r:id="rId52" display="https://boardgamegeek.com/boardgame/2633/dog"/>
    <hyperlink ref="R55" r:id="rId53" display="https://boardgamegeek.com/boardgame/258/fluxx"/>
    <hyperlink ref="R56" r:id="rId54" display="https://boardgamegeek.com/boardgame/29223/marrakech"/>
    <hyperlink ref="R57" r:id="rId55" display="https://boardgamegeek.com/boardgame/1219/labyrinth"/>
    <hyperlink ref="R58" r:id="rId56" display="https://boardgamegeek.com/boardgame/1324/cafe-international-das-kartenspiel"/>
    <hyperlink ref="R59" r:id="rId57" display="https://boardgamegeek.com/boardgame/9220/saboteur"/>
    <hyperlink ref="R60" r:id="rId58" display="https://boardgamegeek.com/boardgame/92644/schnappt-hubi"/>
    <hyperlink ref="R61" r:id="rId59" display="https://boardgamegeek.com/boardgame/11456/zilch"/>
    <hyperlink ref="R62" r:id="rId60" display="https://boardgamegeek.com/boardgame/1472/five-crowns"/>
    <hyperlink ref="R63" r:id="rId61" display="https://boardgamegeek.com/boardgame/41259/ramses-pyramid"/>
    <hyperlink ref="R64" r:id="rId62" display="https://boardgamegeek.com/boardgame/16992/tsuro"/>
    <hyperlink ref="R65" r:id="rId63" display="https://boardgamegeek.com/boardgame/204583/kingdomino"/>
    <hyperlink ref="R66" r:id="rId64" display="https://boardgamegeek.com/boardgame/4493/kayanak"/>
    <hyperlink ref="R67" r:id="rId65" display="https://boardgamegeek.com/boardgame/15818/pickomino"/>
    <hyperlink ref="R68" r:id="rId66" display="https://boardgamegeek.com/boardgame/444/escape-hidden-castle"/>
    <hyperlink ref="R69" r:id="rId67" display="https://boardgamegeek.com/boardgame/131260/qwixx"/>
    <hyperlink ref="R70" r:id="rId68" display="https://boardgamegeek.com/boardgame/3570/chicken-cha-cha-cha"/>
    <hyperlink ref="R71" r:id="rId69" display="https://boardgamegeek.com/boardgame/2223/uno"/>
    <hyperlink ref="R72" r:id="rId70" display="https://boardgamegeek.com/boardgame/1730/trap-cap"/>
    <hyperlink ref="R73" r:id="rId71" display="https://boardgamegeek.com/boardgame/204135/skyjo"/>
    <hyperlink ref="R74" r:id="rId72" display="https://boardgamegeek.com/boardgame/244992/mind"/>
    <hyperlink ref="R75" r:id="rId73" display="https://boardgamegeek.com/boardgame/118410/dirty-pig"/>
    <hyperlink ref="R76" r:id="rId74" display="https://boardgamegeek.com/boardgame/284108/pictures"/>
    <hyperlink ref="R77" r:id="rId75" display="https://boardgamegeek.com/boardgame/34943/double-shutter"/>
    <hyperlink ref="R78" r:id="rId76" display="https://boardgamegeek.com/boardgame/158268/karma"/>
    <hyperlink ref="R79" r:id="rId77" display="https://boardgamegeek.com/boardgame/158268/karma"/>
    <hyperlink ref="R80" r:id="rId78" display="https://boardgamegeek.com/boardgame/146997/five-crowns-junior"/>
    <hyperlink ref="R82" r:id="rId79" display="https://boardgamegeek.com/boardgame/17672/sailors-game"/>
    <hyperlink ref="R83" r:id="rId80" display="https://boardgamegeek.com/boardgame/18840/wissens-spektrum"/>
    <hyperlink ref="R84" r:id="rId81" display="https://boardgamegeek.com/boardgame/63335/ostsee-torn"/>
    <hyperlink ref="R85" r:id="rId82" display="https://boardgamegeek.com/boardgame/354078/oh-crud"/>
    <hyperlink ref="R86" r:id="rId83" display="https://boardgamegeek.com/boardgame/197706/speed-art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2026-01-07T14:34:25Z</dcterms:modified>
  <cp:revision>1</cp:revision>
  <dc:subject/>
  <dc:title/>
</cp:coreProperties>
</file>